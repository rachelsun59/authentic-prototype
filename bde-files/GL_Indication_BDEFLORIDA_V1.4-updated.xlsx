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nt\Downloads\BDE Florida 06.29.2026\"/>
    </mc:Choice>
  </mc:AlternateContent>
  <xr:revisionPtr revIDLastSave="0" documentId="13_ncr:1_{18079ECE-3BD7-4424-8357-C1DA6E582DE8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SOV" sheetId="6" r:id="rId1"/>
    <sheet name="Setup" sheetId="1" r:id="rId2"/>
    <sheet name="LossRun" sheetId="2" r:id="rId3"/>
    <sheet name="Indication" sheetId="3" r:id="rId4"/>
    <sheet name="EXPORT" sheetId="7" r:id="rId5"/>
    <sheet name="Umbrella" sheetId="4" r:id="rId6"/>
    <sheet name="Ref" sheetId="5" r:id="rId7"/>
  </sheets>
  <definedNames>
    <definedName name="_xlnm.Print_Area" localSheetId="0">SOV!$A$1:$F$30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D3" i="7"/>
  <c r="C4" i="7"/>
  <c r="D4" i="7"/>
  <c r="C5" i="7"/>
  <c r="D5" i="7"/>
  <c r="C6" i="7"/>
  <c r="D6" i="7"/>
  <c r="C7" i="7"/>
  <c r="D7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D2" i="7"/>
  <c r="C2" i="7"/>
  <c r="B2" i="7"/>
  <c r="A2" i="7"/>
  <c r="B8" i="1"/>
  <c r="N31" i="6"/>
  <c r="L31" i="6"/>
  <c r="K31" i="6"/>
  <c r="J31" i="6"/>
  <c r="I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B48" i="5"/>
  <c r="B43" i="5"/>
  <c r="F67" i="3"/>
  <c r="F66" i="3"/>
  <c r="F65" i="3"/>
  <c r="F63" i="3"/>
  <c r="B59" i="3"/>
  <c r="A52" i="3"/>
  <c r="F49" i="3"/>
  <c r="F42" i="3"/>
  <c r="F38" i="3"/>
  <c r="E33" i="3"/>
  <c r="E32" i="3"/>
  <c r="E31" i="3"/>
  <c r="E30" i="3"/>
  <c r="E22" i="3"/>
  <c r="D22" i="3"/>
  <c r="A13" i="3"/>
  <c r="B6" i="3"/>
  <c r="E5" i="3"/>
  <c r="D5" i="3"/>
  <c r="J2" i="3"/>
  <c r="F2" i="3"/>
  <c r="A2" i="3"/>
  <c r="F1002" i="2"/>
  <c r="E1002" i="2"/>
  <c r="D1002" i="2"/>
  <c r="F1001" i="2"/>
  <c r="E1001" i="2"/>
  <c r="D1001" i="2"/>
  <c r="F1000" i="2"/>
  <c r="E1000" i="2"/>
  <c r="D1000" i="2"/>
  <c r="F999" i="2"/>
  <c r="E999" i="2"/>
  <c r="D999" i="2"/>
  <c r="F998" i="2"/>
  <c r="E998" i="2"/>
  <c r="D998" i="2"/>
  <c r="F997" i="2"/>
  <c r="E997" i="2"/>
  <c r="D997" i="2"/>
  <c r="F996" i="2"/>
  <c r="E996" i="2"/>
  <c r="D996" i="2"/>
  <c r="F995" i="2"/>
  <c r="E995" i="2"/>
  <c r="D995" i="2"/>
  <c r="F994" i="2"/>
  <c r="E994" i="2"/>
  <c r="D994" i="2"/>
  <c r="F993" i="2"/>
  <c r="E993" i="2"/>
  <c r="D993" i="2"/>
  <c r="F992" i="2"/>
  <c r="E992" i="2"/>
  <c r="D992" i="2"/>
  <c r="F991" i="2"/>
  <c r="E991" i="2"/>
  <c r="D991" i="2"/>
  <c r="F990" i="2"/>
  <c r="E990" i="2"/>
  <c r="D990" i="2"/>
  <c r="F989" i="2"/>
  <c r="E989" i="2"/>
  <c r="D989" i="2"/>
  <c r="F988" i="2"/>
  <c r="E988" i="2"/>
  <c r="D988" i="2"/>
  <c r="F987" i="2"/>
  <c r="E987" i="2"/>
  <c r="D987" i="2"/>
  <c r="F986" i="2"/>
  <c r="E986" i="2"/>
  <c r="D986" i="2"/>
  <c r="F985" i="2"/>
  <c r="E985" i="2"/>
  <c r="D985" i="2"/>
  <c r="F984" i="2"/>
  <c r="E984" i="2"/>
  <c r="D984" i="2"/>
  <c r="F983" i="2"/>
  <c r="E983" i="2"/>
  <c r="D983" i="2"/>
  <c r="F982" i="2"/>
  <c r="E982" i="2"/>
  <c r="D982" i="2"/>
  <c r="F981" i="2"/>
  <c r="E981" i="2"/>
  <c r="D981" i="2"/>
  <c r="F980" i="2"/>
  <c r="E980" i="2"/>
  <c r="D980" i="2"/>
  <c r="F979" i="2"/>
  <c r="E979" i="2"/>
  <c r="D979" i="2"/>
  <c r="F978" i="2"/>
  <c r="E978" i="2"/>
  <c r="D978" i="2"/>
  <c r="F977" i="2"/>
  <c r="E977" i="2"/>
  <c r="D977" i="2"/>
  <c r="F976" i="2"/>
  <c r="E976" i="2"/>
  <c r="D976" i="2"/>
  <c r="F975" i="2"/>
  <c r="E975" i="2"/>
  <c r="D975" i="2"/>
  <c r="F974" i="2"/>
  <c r="E974" i="2"/>
  <c r="D974" i="2"/>
  <c r="F973" i="2"/>
  <c r="E973" i="2"/>
  <c r="D973" i="2"/>
  <c r="F972" i="2"/>
  <c r="E972" i="2"/>
  <c r="D972" i="2"/>
  <c r="F971" i="2"/>
  <c r="E971" i="2"/>
  <c r="D971" i="2"/>
  <c r="F970" i="2"/>
  <c r="E970" i="2"/>
  <c r="D970" i="2"/>
  <c r="F969" i="2"/>
  <c r="E969" i="2"/>
  <c r="D969" i="2"/>
  <c r="F968" i="2"/>
  <c r="E968" i="2"/>
  <c r="D968" i="2"/>
  <c r="F967" i="2"/>
  <c r="E967" i="2"/>
  <c r="D967" i="2"/>
  <c r="F966" i="2"/>
  <c r="E966" i="2"/>
  <c r="D966" i="2"/>
  <c r="F965" i="2"/>
  <c r="E965" i="2"/>
  <c r="D965" i="2"/>
  <c r="F964" i="2"/>
  <c r="E964" i="2"/>
  <c r="D964" i="2"/>
  <c r="F963" i="2"/>
  <c r="E963" i="2"/>
  <c r="D963" i="2"/>
  <c r="F962" i="2"/>
  <c r="E962" i="2"/>
  <c r="D962" i="2"/>
  <c r="F961" i="2"/>
  <c r="E961" i="2"/>
  <c r="D961" i="2"/>
  <c r="F960" i="2"/>
  <c r="E960" i="2"/>
  <c r="D960" i="2"/>
  <c r="F959" i="2"/>
  <c r="E959" i="2"/>
  <c r="D959" i="2"/>
  <c r="F958" i="2"/>
  <c r="E958" i="2"/>
  <c r="D958" i="2"/>
  <c r="F957" i="2"/>
  <c r="E957" i="2"/>
  <c r="D957" i="2"/>
  <c r="F956" i="2"/>
  <c r="E956" i="2"/>
  <c r="D956" i="2"/>
  <c r="F955" i="2"/>
  <c r="E955" i="2"/>
  <c r="D955" i="2"/>
  <c r="F954" i="2"/>
  <c r="E954" i="2"/>
  <c r="D954" i="2"/>
  <c r="F953" i="2"/>
  <c r="E953" i="2"/>
  <c r="D953" i="2"/>
  <c r="F952" i="2"/>
  <c r="E952" i="2"/>
  <c r="D952" i="2"/>
  <c r="F951" i="2"/>
  <c r="E951" i="2"/>
  <c r="D951" i="2"/>
  <c r="F950" i="2"/>
  <c r="E950" i="2"/>
  <c r="D950" i="2"/>
  <c r="F949" i="2"/>
  <c r="E949" i="2"/>
  <c r="D949" i="2"/>
  <c r="F948" i="2"/>
  <c r="E948" i="2"/>
  <c r="D948" i="2"/>
  <c r="F947" i="2"/>
  <c r="E947" i="2"/>
  <c r="D947" i="2"/>
  <c r="F946" i="2"/>
  <c r="E946" i="2"/>
  <c r="D946" i="2"/>
  <c r="F945" i="2"/>
  <c r="E945" i="2"/>
  <c r="D945" i="2"/>
  <c r="F944" i="2"/>
  <c r="E944" i="2"/>
  <c r="D944" i="2"/>
  <c r="F943" i="2"/>
  <c r="E943" i="2"/>
  <c r="D943" i="2"/>
  <c r="F942" i="2"/>
  <c r="E942" i="2"/>
  <c r="D942" i="2"/>
  <c r="F941" i="2"/>
  <c r="E941" i="2"/>
  <c r="D941" i="2"/>
  <c r="F940" i="2"/>
  <c r="E940" i="2"/>
  <c r="D940" i="2"/>
  <c r="F939" i="2"/>
  <c r="E939" i="2"/>
  <c r="D939" i="2"/>
  <c r="F938" i="2"/>
  <c r="E938" i="2"/>
  <c r="D938" i="2"/>
  <c r="F937" i="2"/>
  <c r="E937" i="2"/>
  <c r="D937" i="2"/>
  <c r="F936" i="2"/>
  <c r="E936" i="2"/>
  <c r="D936" i="2"/>
  <c r="F935" i="2"/>
  <c r="E935" i="2"/>
  <c r="D935" i="2"/>
  <c r="F934" i="2"/>
  <c r="E934" i="2"/>
  <c r="D934" i="2"/>
  <c r="F933" i="2"/>
  <c r="E933" i="2"/>
  <c r="D933" i="2"/>
  <c r="F932" i="2"/>
  <c r="E932" i="2"/>
  <c r="D932" i="2"/>
  <c r="F931" i="2"/>
  <c r="E931" i="2"/>
  <c r="D931" i="2"/>
  <c r="F930" i="2"/>
  <c r="E930" i="2"/>
  <c r="D930" i="2"/>
  <c r="F929" i="2"/>
  <c r="E929" i="2"/>
  <c r="D929" i="2"/>
  <c r="F928" i="2"/>
  <c r="E928" i="2"/>
  <c r="D928" i="2"/>
  <c r="F927" i="2"/>
  <c r="E927" i="2"/>
  <c r="D927" i="2"/>
  <c r="F926" i="2"/>
  <c r="E926" i="2"/>
  <c r="D926" i="2"/>
  <c r="F925" i="2"/>
  <c r="E925" i="2"/>
  <c r="D925" i="2"/>
  <c r="F924" i="2"/>
  <c r="E924" i="2"/>
  <c r="D924" i="2"/>
  <c r="F923" i="2"/>
  <c r="E923" i="2"/>
  <c r="D923" i="2"/>
  <c r="F922" i="2"/>
  <c r="E922" i="2"/>
  <c r="D922" i="2"/>
  <c r="F921" i="2"/>
  <c r="E921" i="2"/>
  <c r="D921" i="2"/>
  <c r="F920" i="2"/>
  <c r="E920" i="2"/>
  <c r="D920" i="2"/>
  <c r="F919" i="2"/>
  <c r="E919" i="2"/>
  <c r="D919" i="2"/>
  <c r="F918" i="2"/>
  <c r="E918" i="2"/>
  <c r="D918" i="2"/>
  <c r="F917" i="2"/>
  <c r="E917" i="2"/>
  <c r="D917" i="2"/>
  <c r="F916" i="2"/>
  <c r="E916" i="2"/>
  <c r="D916" i="2"/>
  <c r="F915" i="2"/>
  <c r="E915" i="2"/>
  <c r="D915" i="2"/>
  <c r="F914" i="2"/>
  <c r="E914" i="2"/>
  <c r="D914" i="2"/>
  <c r="F913" i="2"/>
  <c r="E913" i="2"/>
  <c r="D913" i="2"/>
  <c r="F912" i="2"/>
  <c r="E912" i="2"/>
  <c r="D912" i="2"/>
  <c r="F911" i="2"/>
  <c r="E911" i="2"/>
  <c r="D911" i="2"/>
  <c r="F910" i="2"/>
  <c r="E910" i="2"/>
  <c r="D910" i="2"/>
  <c r="F909" i="2"/>
  <c r="E909" i="2"/>
  <c r="D909" i="2"/>
  <c r="F908" i="2"/>
  <c r="E908" i="2"/>
  <c r="D908" i="2"/>
  <c r="F907" i="2"/>
  <c r="E907" i="2"/>
  <c r="D907" i="2"/>
  <c r="F906" i="2"/>
  <c r="E906" i="2"/>
  <c r="D906" i="2"/>
  <c r="F905" i="2"/>
  <c r="E905" i="2"/>
  <c r="D905" i="2"/>
  <c r="F904" i="2"/>
  <c r="E904" i="2"/>
  <c r="D904" i="2"/>
  <c r="F903" i="2"/>
  <c r="E903" i="2"/>
  <c r="D903" i="2"/>
  <c r="F902" i="2"/>
  <c r="E902" i="2"/>
  <c r="D902" i="2"/>
  <c r="F901" i="2"/>
  <c r="E901" i="2"/>
  <c r="D901" i="2"/>
  <c r="F900" i="2"/>
  <c r="E900" i="2"/>
  <c r="D900" i="2"/>
  <c r="F899" i="2"/>
  <c r="E899" i="2"/>
  <c r="D899" i="2"/>
  <c r="F898" i="2"/>
  <c r="E898" i="2"/>
  <c r="D898" i="2"/>
  <c r="F897" i="2"/>
  <c r="E897" i="2"/>
  <c r="D897" i="2"/>
  <c r="F896" i="2"/>
  <c r="E896" i="2"/>
  <c r="D896" i="2"/>
  <c r="F895" i="2"/>
  <c r="E895" i="2"/>
  <c r="D895" i="2"/>
  <c r="F894" i="2"/>
  <c r="E894" i="2"/>
  <c r="D894" i="2"/>
  <c r="F893" i="2"/>
  <c r="E893" i="2"/>
  <c r="D893" i="2"/>
  <c r="F892" i="2"/>
  <c r="E892" i="2"/>
  <c r="D892" i="2"/>
  <c r="F891" i="2"/>
  <c r="E891" i="2"/>
  <c r="D891" i="2"/>
  <c r="F890" i="2"/>
  <c r="E890" i="2"/>
  <c r="D890" i="2"/>
  <c r="F889" i="2"/>
  <c r="E889" i="2"/>
  <c r="D889" i="2"/>
  <c r="F888" i="2"/>
  <c r="E888" i="2"/>
  <c r="D888" i="2"/>
  <c r="F887" i="2"/>
  <c r="E887" i="2"/>
  <c r="D887" i="2"/>
  <c r="F886" i="2"/>
  <c r="E886" i="2"/>
  <c r="D886" i="2"/>
  <c r="F885" i="2"/>
  <c r="E885" i="2"/>
  <c r="D885" i="2"/>
  <c r="F884" i="2"/>
  <c r="E884" i="2"/>
  <c r="D884" i="2"/>
  <c r="F883" i="2"/>
  <c r="E883" i="2"/>
  <c r="D883" i="2"/>
  <c r="F882" i="2"/>
  <c r="E882" i="2"/>
  <c r="D882" i="2"/>
  <c r="F881" i="2"/>
  <c r="E881" i="2"/>
  <c r="D881" i="2"/>
  <c r="F880" i="2"/>
  <c r="E880" i="2"/>
  <c r="D880" i="2"/>
  <c r="F879" i="2"/>
  <c r="E879" i="2"/>
  <c r="D879" i="2"/>
  <c r="F878" i="2"/>
  <c r="E878" i="2"/>
  <c r="D878" i="2"/>
  <c r="F877" i="2"/>
  <c r="E877" i="2"/>
  <c r="D877" i="2"/>
  <c r="F876" i="2"/>
  <c r="E876" i="2"/>
  <c r="D876" i="2"/>
  <c r="F875" i="2"/>
  <c r="E875" i="2"/>
  <c r="D875" i="2"/>
  <c r="F874" i="2"/>
  <c r="E874" i="2"/>
  <c r="D874" i="2"/>
  <c r="F873" i="2"/>
  <c r="E873" i="2"/>
  <c r="D873" i="2"/>
  <c r="F872" i="2"/>
  <c r="E872" i="2"/>
  <c r="D872" i="2"/>
  <c r="F871" i="2"/>
  <c r="E871" i="2"/>
  <c r="D871" i="2"/>
  <c r="F870" i="2"/>
  <c r="E870" i="2"/>
  <c r="D870" i="2"/>
  <c r="F869" i="2"/>
  <c r="E869" i="2"/>
  <c r="D869" i="2"/>
  <c r="F868" i="2"/>
  <c r="E868" i="2"/>
  <c r="D868" i="2"/>
  <c r="F867" i="2"/>
  <c r="E867" i="2"/>
  <c r="D867" i="2"/>
  <c r="F866" i="2"/>
  <c r="E866" i="2"/>
  <c r="D866" i="2"/>
  <c r="F865" i="2"/>
  <c r="E865" i="2"/>
  <c r="D865" i="2"/>
  <c r="F864" i="2"/>
  <c r="E864" i="2"/>
  <c r="D864" i="2"/>
  <c r="F863" i="2"/>
  <c r="E863" i="2"/>
  <c r="D863" i="2"/>
  <c r="F862" i="2"/>
  <c r="E862" i="2"/>
  <c r="D862" i="2"/>
  <c r="F861" i="2"/>
  <c r="E861" i="2"/>
  <c r="D861" i="2"/>
  <c r="F860" i="2"/>
  <c r="E860" i="2"/>
  <c r="D860" i="2"/>
  <c r="F859" i="2"/>
  <c r="E859" i="2"/>
  <c r="D859" i="2"/>
  <c r="F858" i="2"/>
  <c r="E858" i="2"/>
  <c r="D858" i="2"/>
  <c r="F857" i="2"/>
  <c r="E857" i="2"/>
  <c r="D857" i="2"/>
  <c r="F856" i="2"/>
  <c r="E856" i="2"/>
  <c r="D856" i="2"/>
  <c r="F855" i="2"/>
  <c r="E855" i="2"/>
  <c r="D855" i="2"/>
  <c r="F854" i="2"/>
  <c r="E854" i="2"/>
  <c r="D854" i="2"/>
  <c r="F853" i="2"/>
  <c r="E853" i="2"/>
  <c r="D853" i="2"/>
  <c r="F852" i="2"/>
  <c r="E852" i="2"/>
  <c r="D852" i="2"/>
  <c r="F851" i="2"/>
  <c r="E851" i="2"/>
  <c r="D851" i="2"/>
  <c r="F850" i="2"/>
  <c r="E850" i="2"/>
  <c r="D850" i="2"/>
  <c r="F849" i="2"/>
  <c r="E849" i="2"/>
  <c r="D849" i="2"/>
  <c r="F848" i="2"/>
  <c r="E848" i="2"/>
  <c r="D848" i="2"/>
  <c r="F847" i="2"/>
  <c r="E847" i="2"/>
  <c r="D847" i="2"/>
  <c r="F846" i="2"/>
  <c r="E846" i="2"/>
  <c r="D846" i="2"/>
  <c r="F845" i="2"/>
  <c r="E845" i="2"/>
  <c r="D845" i="2"/>
  <c r="F844" i="2"/>
  <c r="E844" i="2"/>
  <c r="D844" i="2"/>
  <c r="F843" i="2"/>
  <c r="E843" i="2"/>
  <c r="D843" i="2"/>
  <c r="F842" i="2"/>
  <c r="E842" i="2"/>
  <c r="D842" i="2"/>
  <c r="F841" i="2"/>
  <c r="E841" i="2"/>
  <c r="D841" i="2"/>
  <c r="F840" i="2"/>
  <c r="E840" i="2"/>
  <c r="D840" i="2"/>
  <c r="F839" i="2"/>
  <c r="E839" i="2"/>
  <c r="D839" i="2"/>
  <c r="F838" i="2"/>
  <c r="E838" i="2"/>
  <c r="D838" i="2"/>
  <c r="F837" i="2"/>
  <c r="E837" i="2"/>
  <c r="D837" i="2"/>
  <c r="F836" i="2"/>
  <c r="E836" i="2"/>
  <c r="D836" i="2"/>
  <c r="F835" i="2"/>
  <c r="E835" i="2"/>
  <c r="D835" i="2"/>
  <c r="F834" i="2"/>
  <c r="E834" i="2"/>
  <c r="D834" i="2"/>
  <c r="F833" i="2"/>
  <c r="E833" i="2"/>
  <c r="D833" i="2"/>
  <c r="F832" i="2"/>
  <c r="E832" i="2"/>
  <c r="D832" i="2"/>
  <c r="F831" i="2"/>
  <c r="E831" i="2"/>
  <c r="D831" i="2"/>
  <c r="F830" i="2"/>
  <c r="E830" i="2"/>
  <c r="D830" i="2"/>
  <c r="F829" i="2"/>
  <c r="E829" i="2"/>
  <c r="D829" i="2"/>
  <c r="F828" i="2"/>
  <c r="E828" i="2"/>
  <c r="D828" i="2"/>
  <c r="F827" i="2"/>
  <c r="E827" i="2"/>
  <c r="D827" i="2"/>
  <c r="F826" i="2"/>
  <c r="E826" i="2"/>
  <c r="D826" i="2"/>
  <c r="F825" i="2"/>
  <c r="E825" i="2"/>
  <c r="D825" i="2"/>
  <c r="F824" i="2"/>
  <c r="E824" i="2"/>
  <c r="D824" i="2"/>
  <c r="F823" i="2"/>
  <c r="E823" i="2"/>
  <c r="D823" i="2"/>
  <c r="F822" i="2"/>
  <c r="E822" i="2"/>
  <c r="D822" i="2"/>
  <c r="F821" i="2"/>
  <c r="E821" i="2"/>
  <c r="D821" i="2"/>
  <c r="F820" i="2"/>
  <c r="E820" i="2"/>
  <c r="D820" i="2"/>
  <c r="F819" i="2"/>
  <c r="E819" i="2"/>
  <c r="D819" i="2"/>
  <c r="F818" i="2"/>
  <c r="E818" i="2"/>
  <c r="D818" i="2"/>
  <c r="F817" i="2"/>
  <c r="E817" i="2"/>
  <c r="D817" i="2"/>
  <c r="F816" i="2"/>
  <c r="E816" i="2"/>
  <c r="D816" i="2"/>
  <c r="F815" i="2"/>
  <c r="E815" i="2"/>
  <c r="D815" i="2"/>
  <c r="F814" i="2"/>
  <c r="E814" i="2"/>
  <c r="D814" i="2"/>
  <c r="F813" i="2"/>
  <c r="E813" i="2"/>
  <c r="D813" i="2"/>
  <c r="F812" i="2"/>
  <c r="E812" i="2"/>
  <c r="D812" i="2"/>
  <c r="F811" i="2"/>
  <c r="E811" i="2"/>
  <c r="D811" i="2"/>
  <c r="F810" i="2"/>
  <c r="E810" i="2"/>
  <c r="D810" i="2"/>
  <c r="F809" i="2"/>
  <c r="E809" i="2"/>
  <c r="D809" i="2"/>
  <c r="F808" i="2"/>
  <c r="E808" i="2"/>
  <c r="D808" i="2"/>
  <c r="F807" i="2"/>
  <c r="E807" i="2"/>
  <c r="D807" i="2"/>
  <c r="F806" i="2"/>
  <c r="E806" i="2"/>
  <c r="D806" i="2"/>
  <c r="F805" i="2"/>
  <c r="E805" i="2"/>
  <c r="D805" i="2"/>
  <c r="F804" i="2"/>
  <c r="E804" i="2"/>
  <c r="D804" i="2"/>
  <c r="F803" i="2"/>
  <c r="E803" i="2"/>
  <c r="D803" i="2"/>
  <c r="F802" i="2"/>
  <c r="E802" i="2"/>
  <c r="D802" i="2"/>
  <c r="F801" i="2"/>
  <c r="E801" i="2"/>
  <c r="D801" i="2"/>
  <c r="F800" i="2"/>
  <c r="E800" i="2"/>
  <c r="D800" i="2"/>
  <c r="F799" i="2"/>
  <c r="E799" i="2"/>
  <c r="D799" i="2"/>
  <c r="F798" i="2"/>
  <c r="E798" i="2"/>
  <c r="D798" i="2"/>
  <c r="F797" i="2"/>
  <c r="E797" i="2"/>
  <c r="D797" i="2"/>
  <c r="F796" i="2"/>
  <c r="E796" i="2"/>
  <c r="D796" i="2"/>
  <c r="F795" i="2"/>
  <c r="E795" i="2"/>
  <c r="D795" i="2"/>
  <c r="F794" i="2"/>
  <c r="E794" i="2"/>
  <c r="D794" i="2"/>
  <c r="F793" i="2"/>
  <c r="E793" i="2"/>
  <c r="D793" i="2"/>
  <c r="F792" i="2"/>
  <c r="E792" i="2"/>
  <c r="D792" i="2"/>
  <c r="F791" i="2"/>
  <c r="E791" i="2"/>
  <c r="D791" i="2"/>
  <c r="F790" i="2"/>
  <c r="E790" i="2"/>
  <c r="D790" i="2"/>
  <c r="F789" i="2"/>
  <c r="E789" i="2"/>
  <c r="D789" i="2"/>
  <c r="F788" i="2"/>
  <c r="E788" i="2"/>
  <c r="D788" i="2"/>
  <c r="F787" i="2"/>
  <c r="E787" i="2"/>
  <c r="D787" i="2"/>
  <c r="F786" i="2"/>
  <c r="E786" i="2"/>
  <c r="D786" i="2"/>
  <c r="F785" i="2"/>
  <c r="E785" i="2"/>
  <c r="D785" i="2"/>
  <c r="F784" i="2"/>
  <c r="E784" i="2"/>
  <c r="D784" i="2"/>
  <c r="F783" i="2"/>
  <c r="E783" i="2"/>
  <c r="D783" i="2"/>
  <c r="F782" i="2"/>
  <c r="E782" i="2"/>
  <c r="D782" i="2"/>
  <c r="F781" i="2"/>
  <c r="E781" i="2"/>
  <c r="D781" i="2"/>
  <c r="F780" i="2"/>
  <c r="E780" i="2"/>
  <c r="D780" i="2"/>
  <c r="F779" i="2"/>
  <c r="E779" i="2"/>
  <c r="D779" i="2"/>
  <c r="F778" i="2"/>
  <c r="E778" i="2"/>
  <c r="D778" i="2"/>
  <c r="F777" i="2"/>
  <c r="E777" i="2"/>
  <c r="D777" i="2"/>
  <c r="F776" i="2"/>
  <c r="E776" i="2"/>
  <c r="D776" i="2"/>
  <c r="F775" i="2"/>
  <c r="E775" i="2"/>
  <c r="D775" i="2"/>
  <c r="F774" i="2"/>
  <c r="E774" i="2"/>
  <c r="D774" i="2"/>
  <c r="F773" i="2"/>
  <c r="E773" i="2"/>
  <c r="D773" i="2"/>
  <c r="F772" i="2"/>
  <c r="E772" i="2"/>
  <c r="D772" i="2"/>
  <c r="F771" i="2"/>
  <c r="E771" i="2"/>
  <c r="D771" i="2"/>
  <c r="F770" i="2"/>
  <c r="E770" i="2"/>
  <c r="D770" i="2"/>
  <c r="F769" i="2"/>
  <c r="E769" i="2"/>
  <c r="D769" i="2"/>
  <c r="F768" i="2"/>
  <c r="E768" i="2"/>
  <c r="D768" i="2"/>
  <c r="F767" i="2"/>
  <c r="E767" i="2"/>
  <c r="D767" i="2"/>
  <c r="F766" i="2"/>
  <c r="E766" i="2"/>
  <c r="D766" i="2"/>
  <c r="F765" i="2"/>
  <c r="E765" i="2"/>
  <c r="D765" i="2"/>
  <c r="F764" i="2"/>
  <c r="E764" i="2"/>
  <c r="D764" i="2"/>
  <c r="F763" i="2"/>
  <c r="E763" i="2"/>
  <c r="D763" i="2"/>
  <c r="F762" i="2"/>
  <c r="E762" i="2"/>
  <c r="D762" i="2"/>
  <c r="F761" i="2"/>
  <c r="E761" i="2"/>
  <c r="D761" i="2"/>
  <c r="F760" i="2"/>
  <c r="E760" i="2"/>
  <c r="D760" i="2"/>
  <c r="F759" i="2"/>
  <c r="E759" i="2"/>
  <c r="D759" i="2"/>
  <c r="F758" i="2"/>
  <c r="E758" i="2"/>
  <c r="D758" i="2"/>
  <c r="F757" i="2"/>
  <c r="E757" i="2"/>
  <c r="D757" i="2"/>
  <c r="F756" i="2"/>
  <c r="E756" i="2"/>
  <c r="D756" i="2"/>
  <c r="F755" i="2"/>
  <c r="E755" i="2"/>
  <c r="D755" i="2"/>
  <c r="F754" i="2"/>
  <c r="E754" i="2"/>
  <c r="D754" i="2"/>
  <c r="F753" i="2"/>
  <c r="E753" i="2"/>
  <c r="D753" i="2"/>
  <c r="F752" i="2"/>
  <c r="E752" i="2"/>
  <c r="D752" i="2"/>
  <c r="F751" i="2"/>
  <c r="E751" i="2"/>
  <c r="D751" i="2"/>
  <c r="F750" i="2"/>
  <c r="E750" i="2"/>
  <c r="D750" i="2"/>
  <c r="F749" i="2"/>
  <c r="E749" i="2"/>
  <c r="D749" i="2"/>
  <c r="F748" i="2"/>
  <c r="E748" i="2"/>
  <c r="D748" i="2"/>
  <c r="F747" i="2"/>
  <c r="E747" i="2"/>
  <c r="D747" i="2"/>
  <c r="F746" i="2"/>
  <c r="E746" i="2"/>
  <c r="D746" i="2"/>
  <c r="F745" i="2"/>
  <c r="E745" i="2"/>
  <c r="D745" i="2"/>
  <c r="F744" i="2"/>
  <c r="E744" i="2"/>
  <c r="D744" i="2"/>
  <c r="F743" i="2"/>
  <c r="E743" i="2"/>
  <c r="D743" i="2"/>
  <c r="F742" i="2"/>
  <c r="E742" i="2"/>
  <c r="D742" i="2"/>
  <c r="F741" i="2"/>
  <c r="E741" i="2"/>
  <c r="D741" i="2"/>
  <c r="F740" i="2"/>
  <c r="E740" i="2"/>
  <c r="D740" i="2"/>
  <c r="F739" i="2"/>
  <c r="E739" i="2"/>
  <c r="D739" i="2"/>
  <c r="F738" i="2"/>
  <c r="E738" i="2"/>
  <c r="D738" i="2"/>
  <c r="F737" i="2"/>
  <c r="E737" i="2"/>
  <c r="D737" i="2"/>
  <c r="F736" i="2"/>
  <c r="E736" i="2"/>
  <c r="D736" i="2"/>
  <c r="F735" i="2"/>
  <c r="E735" i="2"/>
  <c r="D735" i="2"/>
  <c r="F734" i="2"/>
  <c r="E734" i="2"/>
  <c r="D734" i="2"/>
  <c r="F733" i="2"/>
  <c r="E733" i="2"/>
  <c r="D733" i="2"/>
  <c r="F732" i="2"/>
  <c r="E732" i="2"/>
  <c r="D732" i="2"/>
  <c r="F731" i="2"/>
  <c r="E731" i="2"/>
  <c r="D731" i="2"/>
  <c r="F730" i="2"/>
  <c r="E730" i="2"/>
  <c r="D730" i="2"/>
  <c r="F729" i="2"/>
  <c r="E729" i="2"/>
  <c r="D729" i="2"/>
  <c r="F728" i="2"/>
  <c r="E728" i="2"/>
  <c r="D728" i="2"/>
  <c r="F727" i="2"/>
  <c r="E727" i="2"/>
  <c r="D727" i="2"/>
  <c r="F726" i="2"/>
  <c r="E726" i="2"/>
  <c r="D726" i="2"/>
  <c r="F725" i="2"/>
  <c r="E725" i="2"/>
  <c r="D725" i="2"/>
  <c r="F724" i="2"/>
  <c r="E724" i="2"/>
  <c r="D724" i="2"/>
  <c r="F723" i="2"/>
  <c r="E723" i="2"/>
  <c r="D723" i="2"/>
  <c r="F722" i="2"/>
  <c r="E722" i="2"/>
  <c r="D722" i="2"/>
  <c r="F721" i="2"/>
  <c r="E721" i="2"/>
  <c r="D721" i="2"/>
  <c r="F720" i="2"/>
  <c r="E720" i="2"/>
  <c r="D720" i="2"/>
  <c r="F719" i="2"/>
  <c r="E719" i="2"/>
  <c r="D719" i="2"/>
  <c r="F718" i="2"/>
  <c r="E718" i="2"/>
  <c r="D718" i="2"/>
  <c r="F717" i="2"/>
  <c r="E717" i="2"/>
  <c r="D717" i="2"/>
  <c r="F716" i="2"/>
  <c r="E716" i="2"/>
  <c r="D716" i="2"/>
  <c r="F715" i="2"/>
  <c r="E715" i="2"/>
  <c r="D715" i="2"/>
  <c r="F714" i="2"/>
  <c r="E714" i="2"/>
  <c r="D714" i="2"/>
  <c r="F713" i="2"/>
  <c r="E713" i="2"/>
  <c r="D713" i="2"/>
  <c r="F712" i="2"/>
  <c r="E712" i="2"/>
  <c r="D712" i="2"/>
  <c r="F711" i="2"/>
  <c r="E711" i="2"/>
  <c r="D711" i="2"/>
  <c r="F710" i="2"/>
  <c r="E710" i="2"/>
  <c r="D710" i="2"/>
  <c r="F709" i="2"/>
  <c r="E709" i="2"/>
  <c r="D709" i="2"/>
  <c r="F708" i="2"/>
  <c r="E708" i="2"/>
  <c r="D708" i="2"/>
  <c r="F707" i="2"/>
  <c r="E707" i="2"/>
  <c r="D707" i="2"/>
  <c r="F706" i="2"/>
  <c r="E706" i="2"/>
  <c r="D706" i="2"/>
  <c r="F705" i="2"/>
  <c r="E705" i="2"/>
  <c r="D705" i="2"/>
  <c r="F704" i="2"/>
  <c r="E704" i="2"/>
  <c r="D704" i="2"/>
  <c r="F703" i="2"/>
  <c r="E703" i="2"/>
  <c r="D703" i="2"/>
  <c r="F702" i="2"/>
  <c r="E702" i="2"/>
  <c r="D702" i="2"/>
  <c r="F701" i="2"/>
  <c r="E701" i="2"/>
  <c r="D701" i="2"/>
  <c r="F700" i="2"/>
  <c r="E700" i="2"/>
  <c r="D700" i="2"/>
  <c r="F699" i="2"/>
  <c r="E699" i="2"/>
  <c r="D699" i="2"/>
  <c r="F698" i="2"/>
  <c r="E698" i="2"/>
  <c r="D698" i="2"/>
  <c r="F697" i="2"/>
  <c r="E697" i="2"/>
  <c r="D697" i="2"/>
  <c r="F696" i="2"/>
  <c r="E696" i="2"/>
  <c r="D696" i="2"/>
  <c r="F695" i="2"/>
  <c r="E695" i="2"/>
  <c r="D695" i="2"/>
  <c r="F694" i="2"/>
  <c r="E694" i="2"/>
  <c r="D694" i="2"/>
  <c r="F693" i="2"/>
  <c r="E693" i="2"/>
  <c r="D693" i="2"/>
  <c r="F692" i="2"/>
  <c r="E692" i="2"/>
  <c r="D692" i="2"/>
  <c r="F691" i="2"/>
  <c r="E691" i="2"/>
  <c r="D691" i="2"/>
  <c r="F690" i="2"/>
  <c r="E690" i="2"/>
  <c r="D690" i="2"/>
  <c r="F689" i="2"/>
  <c r="E689" i="2"/>
  <c r="D689" i="2"/>
  <c r="F688" i="2"/>
  <c r="E688" i="2"/>
  <c r="D688" i="2"/>
  <c r="F687" i="2"/>
  <c r="E687" i="2"/>
  <c r="D687" i="2"/>
  <c r="F686" i="2"/>
  <c r="E686" i="2"/>
  <c r="D686" i="2"/>
  <c r="F685" i="2"/>
  <c r="E685" i="2"/>
  <c r="D685" i="2"/>
  <c r="F684" i="2"/>
  <c r="E684" i="2"/>
  <c r="D684" i="2"/>
  <c r="F683" i="2"/>
  <c r="E683" i="2"/>
  <c r="D683" i="2"/>
  <c r="F682" i="2"/>
  <c r="E682" i="2"/>
  <c r="D682" i="2"/>
  <c r="F681" i="2"/>
  <c r="E681" i="2"/>
  <c r="D681" i="2"/>
  <c r="F680" i="2"/>
  <c r="E680" i="2"/>
  <c r="D680" i="2"/>
  <c r="F679" i="2"/>
  <c r="E679" i="2"/>
  <c r="D679" i="2"/>
  <c r="F678" i="2"/>
  <c r="E678" i="2"/>
  <c r="D678" i="2"/>
  <c r="F677" i="2"/>
  <c r="E677" i="2"/>
  <c r="D677" i="2"/>
  <c r="F676" i="2"/>
  <c r="E676" i="2"/>
  <c r="D676" i="2"/>
  <c r="F675" i="2"/>
  <c r="E675" i="2"/>
  <c r="D675" i="2"/>
  <c r="F674" i="2"/>
  <c r="E674" i="2"/>
  <c r="D674" i="2"/>
  <c r="F673" i="2"/>
  <c r="E673" i="2"/>
  <c r="D673" i="2"/>
  <c r="F672" i="2"/>
  <c r="E672" i="2"/>
  <c r="D672" i="2"/>
  <c r="F671" i="2"/>
  <c r="E671" i="2"/>
  <c r="D671" i="2"/>
  <c r="F670" i="2"/>
  <c r="E670" i="2"/>
  <c r="D670" i="2"/>
  <c r="F669" i="2"/>
  <c r="E669" i="2"/>
  <c r="D669" i="2"/>
  <c r="F668" i="2"/>
  <c r="E668" i="2"/>
  <c r="D668" i="2"/>
  <c r="F667" i="2"/>
  <c r="E667" i="2"/>
  <c r="D667" i="2"/>
  <c r="F666" i="2"/>
  <c r="E666" i="2"/>
  <c r="D666" i="2"/>
  <c r="F665" i="2"/>
  <c r="E665" i="2"/>
  <c r="D665" i="2"/>
  <c r="F664" i="2"/>
  <c r="E664" i="2"/>
  <c r="D664" i="2"/>
  <c r="F663" i="2"/>
  <c r="E663" i="2"/>
  <c r="D663" i="2"/>
  <c r="F662" i="2"/>
  <c r="E662" i="2"/>
  <c r="D662" i="2"/>
  <c r="F661" i="2"/>
  <c r="E661" i="2"/>
  <c r="D661" i="2"/>
  <c r="F660" i="2"/>
  <c r="E660" i="2"/>
  <c r="D660" i="2"/>
  <c r="F659" i="2"/>
  <c r="E659" i="2"/>
  <c r="D659" i="2"/>
  <c r="F658" i="2"/>
  <c r="E658" i="2"/>
  <c r="D658" i="2"/>
  <c r="F657" i="2"/>
  <c r="E657" i="2"/>
  <c r="D657" i="2"/>
  <c r="F656" i="2"/>
  <c r="E656" i="2"/>
  <c r="D656" i="2"/>
  <c r="F655" i="2"/>
  <c r="E655" i="2"/>
  <c r="D655" i="2"/>
  <c r="F654" i="2"/>
  <c r="E654" i="2"/>
  <c r="D654" i="2"/>
  <c r="F653" i="2"/>
  <c r="E653" i="2"/>
  <c r="D653" i="2"/>
  <c r="F652" i="2"/>
  <c r="E652" i="2"/>
  <c r="D652" i="2"/>
  <c r="F651" i="2"/>
  <c r="E651" i="2"/>
  <c r="D651" i="2"/>
  <c r="F650" i="2"/>
  <c r="E650" i="2"/>
  <c r="D650" i="2"/>
  <c r="F649" i="2"/>
  <c r="E649" i="2"/>
  <c r="D649" i="2"/>
  <c r="F648" i="2"/>
  <c r="E648" i="2"/>
  <c r="D648" i="2"/>
  <c r="F647" i="2"/>
  <c r="E647" i="2"/>
  <c r="D647" i="2"/>
  <c r="F646" i="2"/>
  <c r="E646" i="2"/>
  <c r="D646" i="2"/>
  <c r="F645" i="2"/>
  <c r="E645" i="2"/>
  <c r="D645" i="2"/>
  <c r="F644" i="2"/>
  <c r="E644" i="2"/>
  <c r="D644" i="2"/>
  <c r="F643" i="2"/>
  <c r="E643" i="2"/>
  <c r="D643" i="2"/>
  <c r="F642" i="2"/>
  <c r="E642" i="2"/>
  <c r="D642" i="2"/>
  <c r="F641" i="2"/>
  <c r="E641" i="2"/>
  <c r="D641" i="2"/>
  <c r="F640" i="2"/>
  <c r="E640" i="2"/>
  <c r="D640" i="2"/>
  <c r="F639" i="2"/>
  <c r="E639" i="2"/>
  <c r="D639" i="2"/>
  <c r="F638" i="2"/>
  <c r="E638" i="2"/>
  <c r="D638" i="2"/>
  <c r="F637" i="2"/>
  <c r="E637" i="2"/>
  <c r="D637" i="2"/>
  <c r="F636" i="2"/>
  <c r="E636" i="2"/>
  <c r="D636" i="2"/>
  <c r="F635" i="2"/>
  <c r="E635" i="2"/>
  <c r="D635" i="2"/>
  <c r="F634" i="2"/>
  <c r="E634" i="2"/>
  <c r="D634" i="2"/>
  <c r="F633" i="2"/>
  <c r="E633" i="2"/>
  <c r="D633" i="2"/>
  <c r="F632" i="2"/>
  <c r="E632" i="2"/>
  <c r="D632" i="2"/>
  <c r="F631" i="2"/>
  <c r="E631" i="2"/>
  <c r="D631" i="2"/>
  <c r="F630" i="2"/>
  <c r="E630" i="2"/>
  <c r="D630" i="2"/>
  <c r="F629" i="2"/>
  <c r="E629" i="2"/>
  <c r="D629" i="2"/>
  <c r="F628" i="2"/>
  <c r="E628" i="2"/>
  <c r="D628" i="2"/>
  <c r="F627" i="2"/>
  <c r="E627" i="2"/>
  <c r="D627" i="2"/>
  <c r="F626" i="2"/>
  <c r="E626" i="2"/>
  <c r="D626" i="2"/>
  <c r="F625" i="2"/>
  <c r="E625" i="2"/>
  <c r="D625" i="2"/>
  <c r="F624" i="2"/>
  <c r="E624" i="2"/>
  <c r="D624" i="2"/>
  <c r="F623" i="2"/>
  <c r="E623" i="2"/>
  <c r="D623" i="2"/>
  <c r="F622" i="2"/>
  <c r="E622" i="2"/>
  <c r="D622" i="2"/>
  <c r="F621" i="2"/>
  <c r="E621" i="2"/>
  <c r="D621" i="2"/>
  <c r="F620" i="2"/>
  <c r="E620" i="2"/>
  <c r="D620" i="2"/>
  <c r="F619" i="2"/>
  <c r="E619" i="2"/>
  <c r="D619" i="2"/>
  <c r="F618" i="2"/>
  <c r="E618" i="2"/>
  <c r="D618" i="2"/>
  <c r="F617" i="2"/>
  <c r="E617" i="2"/>
  <c r="D617" i="2"/>
  <c r="F616" i="2"/>
  <c r="E616" i="2"/>
  <c r="D616" i="2"/>
  <c r="F615" i="2"/>
  <c r="E615" i="2"/>
  <c r="D615" i="2"/>
  <c r="F614" i="2"/>
  <c r="E614" i="2"/>
  <c r="D614" i="2"/>
  <c r="F613" i="2"/>
  <c r="E613" i="2"/>
  <c r="D613" i="2"/>
  <c r="F612" i="2"/>
  <c r="E612" i="2"/>
  <c r="D612" i="2"/>
  <c r="F611" i="2"/>
  <c r="E611" i="2"/>
  <c r="D611" i="2"/>
  <c r="F610" i="2"/>
  <c r="E610" i="2"/>
  <c r="D610" i="2"/>
  <c r="F609" i="2"/>
  <c r="E609" i="2"/>
  <c r="D609" i="2"/>
  <c r="F608" i="2"/>
  <c r="E608" i="2"/>
  <c r="D608" i="2"/>
  <c r="F607" i="2"/>
  <c r="E607" i="2"/>
  <c r="D607" i="2"/>
  <c r="F606" i="2"/>
  <c r="E606" i="2"/>
  <c r="D606" i="2"/>
  <c r="F605" i="2"/>
  <c r="E605" i="2"/>
  <c r="D605" i="2"/>
  <c r="F604" i="2"/>
  <c r="E604" i="2"/>
  <c r="D604" i="2"/>
  <c r="F603" i="2"/>
  <c r="E603" i="2"/>
  <c r="D603" i="2"/>
  <c r="F602" i="2"/>
  <c r="E602" i="2"/>
  <c r="D602" i="2"/>
  <c r="F601" i="2"/>
  <c r="E601" i="2"/>
  <c r="D601" i="2"/>
  <c r="F600" i="2"/>
  <c r="E600" i="2"/>
  <c r="D600" i="2"/>
  <c r="F599" i="2"/>
  <c r="E599" i="2"/>
  <c r="D599" i="2"/>
  <c r="F598" i="2"/>
  <c r="E598" i="2"/>
  <c r="D598" i="2"/>
  <c r="F597" i="2"/>
  <c r="E597" i="2"/>
  <c r="D597" i="2"/>
  <c r="F596" i="2"/>
  <c r="E596" i="2"/>
  <c r="D596" i="2"/>
  <c r="F595" i="2"/>
  <c r="E595" i="2"/>
  <c r="D595" i="2"/>
  <c r="F594" i="2"/>
  <c r="E594" i="2"/>
  <c r="D594" i="2"/>
  <c r="F593" i="2"/>
  <c r="E593" i="2"/>
  <c r="D593" i="2"/>
  <c r="F592" i="2"/>
  <c r="E592" i="2"/>
  <c r="D592" i="2"/>
  <c r="F591" i="2"/>
  <c r="E591" i="2"/>
  <c r="D591" i="2"/>
  <c r="F590" i="2"/>
  <c r="E590" i="2"/>
  <c r="D590" i="2"/>
  <c r="F589" i="2"/>
  <c r="E589" i="2"/>
  <c r="D589" i="2"/>
  <c r="F588" i="2"/>
  <c r="E588" i="2"/>
  <c r="D588" i="2"/>
  <c r="F587" i="2"/>
  <c r="E587" i="2"/>
  <c r="D587" i="2"/>
  <c r="F586" i="2"/>
  <c r="E586" i="2"/>
  <c r="D586" i="2"/>
  <c r="F585" i="2"/>
  <c r="E585" i="2"/>
  <c r="D585" i="2"/>
  <c r="F584" i="2"/>
  <c r="E584" i="2"/>
  <c r="D584" i="2"/>
  <c r="F583" i="2"/>
  <c r="E583" i="2"/>
  <c r="D583" i="2"/>
  <c r="F582" i="2"/>
  <c r="E582" i="2"/>
  <c r="D582" i="2"/>
  <c r="F581" i="2"/>
  <c r="E581" i="2"/>
  <c r="D581" i="2"/>
  <c r="F580" i="2"/>
  <c r="E580" i="2"/>
  <c r="D580" i="2"/>
  <c r="F579" i="2"/>
  <c r="E579" i="2"/>
  <c r="D579" i="2"/>
  <c r="F578" i="2"/>
  <c r="E578" i="2"/>
  <c r="D578" i="2"/>
  <c r="F577" i="2"/>
  <c r="E577" i="2"/>
  <c r="D577" i="2"/>
  <c r="F576" i="2"/>
  <c r="E576" i="2"/>
  <c r="D576" i="2"/>
  <c r="F575" i="2"/>
  <c r="E575" i="2"/>
  <c r="D575" i="2"/>
  <c r="F574" i="2"/>
  <c r="E574" i="2"/>
  <c r="D574" i="2"/>
  <c r="F573" i="2"/>
  <c r="E573" i="2"/>
  <c r="D573" i="2"/>
  <c r="F572" i="2"/>
  <c r="E572" i="2"/>
  <c r="D572" i="2"/>
  <c r="F571" i="2"/>
  <c r="E571" i="2"/>
  <c r="D571" i="2"/>
  <c r="F570" i="2"/>
  <c r="E570" i="2"/>
  <c r="D570" i="2"/>
  <c r="F569" i="2"/>
  <c r="E569" i="2"/>
  <c r="D569" i="2"/>
  <c r="F568" i="2"/>
  <c r="E568" i="2"/>
  <c r="D568" i="2"/>
  <c r="F567" i="2"/>
  <c r="E567" i="2"/>
  <c r="D567" i="2"/>
  <c r="F566" i="2"/>
  <c r="E566" i="2"/>
  <c r="D566" i="2"/>
  <c r="F565" i="2"/>
  <c r="E565" i="2"/>
  <c r="D565" i="2"/>
  <c r="F564" i="2"/>
  <c r="E564" i="2"/>
  <c r="D564" i="2"/>
  <c r="F563" i="2"/>
  <c r="E563" i="2"/>
  <c r="D563" i="2"/>
  <c r="F562" i="2"/>
  <c r="E562" i="2"/>
  <c r="D562" i="2"/>
  <c r="F561" i="2"/>
  <c r="E561" i="2"/>
  <c r="D561" i="2"/>
  <c r="F560" i="2"/>
  <c r="E560" i="2"/>
  <c r="D560" i="2"/>
  <c r="F559" i="2"/>
  <c r="E559" i="2"/>
  <c r="D559" i="2"/>
  <c r="F558" i="2"/>
  <c r="E558" i="2"/>
  <c r="D558" i="2"/>
  <c r="F557" i="2"/>
  <c r="E557" i="2"/>
  <c r="D557" i="2"/>
  <c r="F556" i="2"/>
  <c r="E556" i="2"/>
  <c r="D556" i="2"/>
  <c r="F555" i="2"/>
  <c r="E555" i="2"/>
  <c r="D555" i="2"/>
  <c r="F554" i="2"/>
  <c r="E554" i="2"/>
  <c r="D554" i="2"/>
  <c r="F553" i="2"/>
  <c r="E553" i="2"/>
  <c r="D553" i="2"/>
  <c r="F552" i="2"/>
  <c r="E552" i="2"/>
  <c r="D552" i="2"/>
  <c r="F551" i="2"/>
  <c r="E551" i="2"/>
  <c r="D551" i="2"/>
  <c r="F550" i="2"/>
  <c r="E550" i="2"/>
  <c r="D550" i="2"/>
  <c r="F549" i="2"/>
  <c r="E549" i="2"/>
  <c r="D549" i="2"/>
  <c r="F548" i="2"/>
  <c r="E548" i="2"/>
  <c r="D548" i="2"/>
  <c r="F547" i="2"/>
  <c r="E547" i="2"/>
  <c r="D547" i="2"/>
  <c r="F546" i="2"/>
  <c r="E546" i="2"/>
  <c r="D546" i="2"/>
  <c r="F545" i="2"/>
  <c r="E545" i="2"/>
  <c r="D545" i="2"/>
  <c r="F544" i="2"/>
  <c r="E544" i="2"/>
  <c r="D544" i="2"/>
  <c r="F543" i="2"/>
  <c r="E543" i="2"/>
  <c r="D543" i="2"/>
  <c r="F542" i="2"/>
  <c r="E542" i="2"/>
  <c r="D542" i="2"/>
  <c r="F541" i="2"/>
  <c r="E541" i="2"/>
  <c r="D541" i="2"/>
  <c r="F540" i="2"/>
  <c r="E540" i="2"/>
  <c r="D540" i="2"/>
  <c r="F539" i="2"/>
  <c r="E539" i="2"/>
  <c r="D539" i="2"/>
  <c r="F538" i="2"/>
  <c r="E538" i="2"/>
  <c r="D538" i="2"/>
  <c r="F537" i="2"/>
  <c r="E537" i="2"/>
  <c r="D537" i="2"/>
  <c r="F536" i="2"/>
  <c r="E536" i="2"/>
  <c r="D536" i="2"/>
  <c r="F535" i="2"/>
  <c r="E535" i="2"/>
  <c r="D535" i="2"/>
  <c r="F534" i="2"/>
  <c r="E534" i="2"/>
  <c r="D534" i="2"/>
  <c r="F533" i="2"/>
  <c r="E533" i="2"/>
  <c r="D533" i="2"/>
  <c r="F532" i="2"/>
  <c r="E532" i="2"/>
  <c r="D532" i="2"/>
  <c r="F531" i="2"/>
  <c r="E531" i="2"/>
  <c r="D531" i="2"/>
  <c r="F530" i="2"/>
  <c r="E530" i="2"/>
  <c r="D530" i="2"/>
  <c r="F529" i="2"/>
  <c r="E529" i="2"/>
  <c r="D529" i="2"/>
  <c r="F528" i="2"/>
  <c r="E528" i="2"/>
  <c r="D528" i="2"/>
  <c r="F527" i="2"/>
  <c r="E527" i="2"/>
  <c r="D527" i="2"/>
  <c r="F526" i="2"/>
  <c r="E526" i="2"/>
  <c r="D526" i="2"/>
  <c r="F525" i="2"/>
  <c r="E525" i="2"/>
  <c r="D525" i="2"/>
  <c r="F524" i="2"/>
  <c r="E524" i="2"/>
  <c r="D524" i="2"/>
  <c r="F523" i="2"/>
  <c r="E523" i="2"/>
  <c r="D523" i="2"/>
  <c r="F522" i="2"/>
  <c r="E522" i="2"/>
  <c r="D522" i="2"/>
  <c r="F521" i="2"/>
  <c r="E521" i="2"/>
  <c r="D521" i="2"/>
  <c r="F520" i="2"/>
  <c r="E520" i="2"/>
  <c r="D520" i="2"/>
  <c r="F519" i="2"/>
  <c r="E519" i="2"/>
  <c r="D519" i="2"/>
  <c r="F518" i="2"/>
  <c r="E518" i="2"/>
  <c r="D518" i="2"/>
  <c r="F517" i="2"/>
  <c r="E517" i="2"/>
  <c r="D517" i="2"/>
  <c r="F516" i="2"/>
  <c r="E516" i="2"/>
  <c r="D516" i="2"/>
  <c r="F515" i="2"/>
  <c r="E515" i="2"/>
  <c r="D515" i="2"/>
  <c r="F514" i="2"/>
  <c r="E514" i="2"/>
  <c r="D514" i="2"/>
  <c r="F513" i="2"/>
  <c r="E513" i="2"/>
  <c r="D513" i="2"/>
  <c r="F512" i="2"/>
  <c r="E512" i="2"/>
  <c r="D512" i="2"/>
  <c r="F511" i="2"/>
  <c r="E511" i="2"/>
  <c r="D511" i="2"/>
  <c r="F510" i="2"/>
  <c r="E510" i="2"/>
  <c r="D510" i="2"/>
  <c r="F509" i="2"/>
  <c r="E509" i="2"/>
  <c r="D509" i="2"/>
  <c r="F508" i="2"/>
  <c r="E508" i="2"/>
  <c r="D508" i="2"/>
  <c r="F507" i="2"/>
  <c r="E507" i="2"/>
  <c r="D507" i="2"/>
  <c r="F506" i="2"/>
  <c r="E506" i="2"/>
  <c r="D506" i="2"/>
  <c r="F505" i="2"/>
  <c r="E505" i="2"/>
  <c r="D505" i="2"/>
  <c r="F504" i="2"/>
  <c r="E504" i="2"/>
  <c r="D504" i="2"/>
  <c r="F503" i="2"/>
  <c r="E503" i="2"/>
  <c r="D503" i="2"/>
  <c r="F502" i="2"/>
  <c r="E502" i="2"/>
  <c r="D502" i="2"/>
  <c r="F501" i="2"/>
  <c r="E501" i="2"/>
  <c r="D501" i="2"/>
  <c r="F500" i="2"/>
  <c r="E500" i="2"/>
  <c r="D500" i="2"/>
  <c r="F499" i="2"/>
  <c r="E499" i="2"/>
  <c r="D499" i="2"/>
  <c r="F498" i="2"/>
  <c r="E498" i="2"/>
  <c r="D498" i="2"/>
  <c r="F497" i="2"/>
  <c r="E497" i="2"/>
  <c r="D497" i="2"/>
  <c r="F496" i="2"/>
  <c r="E496" i="2"/>
  <c r="D496" i="2"/>
  <c r="F495" i="2"/>
  <c r="E495" i="2"/>
  <c r="D495" i="2"/>
  <c r="F494" i="2"/>
  <c r="E494" i="2"/>
  <c r="D494" i="2"/>
  <c r="F493" i="2"/>
  <c r="E493" i="2"/>
  <c r="D493" i="2"/>
  <c r="F492" i="2"/>
  <c r="E492" i="2"/>
  <c r="D492" i="2"/>
  <c r="F491" i="2"/>
  <c r="E491" i="2"/>
  <c r="D491" i="2"/>
  <c r="F490" i="2"/>
  <c r="E490" i="2"/>
  <c r="D490" i="2"/>
  <c r="F489" i="2"/>
  <c r="E489" i="2"/>
  <c r="D489" i="2"/>
  <c r="F488" i="2"/>
  <c r="E488" i="2"/>
  <c r="D488" i="2"/>
  <c r="F487" i="2"/>
  <c r="E487" i="2"/>
  <c r="D487" i="2"/>
  <c r="F486" i="2"/>
  <c r="E486" i="2"/>
  <c r="D486" i="2"/>
  <c r="F485" i="2"/>
  <c r="E485" i="2"/>
  <c r="D485" i="2"/>
  <c r="F484" i="2"/>
  <c r="E484" i="2"/>
  <c r="D484" i="2"/>
  <c r="F483" i="2"/>
  <c r="E483" i="2"/>
  <c r="D483" i="2"/>
  <c r="F482" i="2"/>
  <c r="E482" i="2"/>
  <c r="D482" i="2"/>
  <c r="F481" i="2"/>
  <c r="E481" i="2"/>
  <c r="D481" i="2"/>
  <c r="F480" i="2"/>
  <c r="E480" i="2"/>
  <c r="D480" i="2"/>
  <c r="F479" i="2"/>
  <c r="E479" i="2"/>
  <c r="D479" i="2"/>
  <c r="F478" i="2"/>
  <c r="E478" i="2"/>
  <c r="D478" i="2"/>
  <c r="F477" i="2"/>
  <c r="E477" i="2"/>
  <c r="D477" i="2"/>
  <c r="F476" i="2"/>
  <c r="E476" i="2"/>
  <c r="D476" i="2"/>
  <c r="F475" i="2"/>
  <c r="E475" i="2"/>
  <c r="D475" i="2"/>
  <c r="F474" i="2"/>
  <c r="E474" i="2"/>
  <c r="D474" i="2"/>
  <c r="F473" i="2"/>
  <c r="E473" i="2"/>
  <c r="D473" i="2"/>
  <c r="F472" i="2"/>
  <c r="E472" i="2"/>
  <c r="D472" i="2"/>
  <c r="F471" i="2"/>
  <c r="E471" i="2"/>
  <c r="D471" i="2"/>
  <c r="F470" i="2"/>
  <c r="E470" i="2"/>
  <c r="D470" i="2"/>
  <c r="F469" i="2"/>
  <c r="E469" i="2"/>
  <c r="D469" i="2"/>
  <c r="F468" i="2"/>
  <c r="E468" i="2"/>
  <c r="D468" i="2"/>
  <c r="F467" i="2"/>
  <c r="E467" i="2"/>
  <c r="D467" i="2"/>
  <c r="F466" i="2"/>
  <c r="E466" i="2"/>
  <c r="D466" i="2"/>
  <c r="F465" i="2"/>
  <c r="E465" i="2"/>
  <c r="D465" i="2"/>
  <c r="F464" i="2"/>
  <c r="E464" i="2"/>
  <c r="D464" i="2"/>
  <c r="F463" i="2"/>
  <c r="E463" i="2"/>
  <c r="D463" i="2"/>
  <c r="F462" i="2"/>
  <c r="E462" i="2"/>
  <c r="D462" i="2"/>
  <c r="F461" i="2"/>
  <c r="E461" i="2"/>
  <c r="D461" i="2"/>
  <c r="F460" i="2"/>
  <c r="E460" i="2"/>
  <c r="D460" i="2"/>
  <c r="F459" i="2"/>
  <c r="E459" i="2"/>
  <c r="D459" i="2"/>
  <c r="F458" i="2"/>
  <c r="E458" i="2"/>
  <c r="D458" i="2"/>
  <c r="F457" i="2"/>
  <c r="E457" i="2"/>
  <c r="D457" i="2"/>
  <c r="F456" i="2"/>
  <c r="E456" i="2"/>
  <c r="D456" i="2"/>
  <c r="F455" i="2"/>
  <c r="E455" i="2"/>
  <c r="D455" i="2"/>
  <c r="F454" i="2"/>
  <c r="E454" i="2"/>
  <c r="D454" i="2"/>
  <c r="F453" i="2"/>
  <c r="E453" i="2"/>
  <c r="D453" i="2"/>
  <c r="F452" i="2"/>
  <c r="E452" i="2"/>
  <c r="D452" i="2"/>
  <c r="F451" i="2"/>
  <c r="E451" i="2"/>
  <c r="D451" i="2"/>
  <c r="F450" i="2"/>
  <c r="E450" i="2"/>
  <c r="D450" i="2"/>
  <c r="F449" i="2"/>
  <c r="E449" i="2"/>
  <c r="D449" i="2"/>
  <c r="F448" i="2"/>
  <c r="E448" i="2"/>
  <c r="D448" i="2"/>
  <c r="F447" i="2"/>
  <c r="E447" i="2"/>
  <c r="D447" i="2"/>
  <c r="F446" i="2"/>
  <c r="E446" i="2"/>
  <c r="D446" i="2"/>
  <c r="F445" i="2"/>
  <c r="E445" i="2"/>
  <c r="D445" i="2"/>
  <c r="F444" i="2"/>
  <c r="E444" i="2"/>
  <c r="D444" i="2"/>
  <c r="F443" i="2"/>
  <c r="E443" i="2"/>
  <c r="D443" i="2"/>
  <c r="F442" i="2"/>
  <c r="E442" i="2"/>
  <c r="D442" i="2"/>
  <c r="F441" i="2"/>
  <c r="E441" i="2"/>
  <c r="D441" i="2"/>
  <c r="F440" i="2"/>
  <c r="E440" i="2"/>
  <c r="D440" i="2"/>
  <c r="F439" i="2"/>
  <c r="E439" i="2"/>
  <c r="D439" i="2"/>
  <c r="F438" i="2"/>
  <c r="E438" i="2"/>
  <c r="D438" i="2"/>
  <c r="F437" i="2"/>
  <c r="E437" i="2"/>
  <c r="D437" i="2"/>
  <c r="F436" i="2"/>
  <c r="E436" i="2"/>
  <c r="D436" i="2"/>
  <c r="F435" i="2"/>
  <c r="E435" i="2"/>
  <c r="D435" i="2"/>
  <c r="F434" i="2"/>
  <c r="E434" i="2"/>
  <c r="D434" i="2"/>
  <c r="F433" i="2"/>
  <c r="E433" i="2"/>
  <c r="D433" i="2"/>
  <c r="F432" i="2"/>
  <c r="E432" i="2"/>
  <c r="D432" i="2"/>
  <c r="F431" i="2"/>
  <c r="E431" i="2"/>
  <c r="D431" i="2"/>
  <c r="F430" i="2"/>
  <c r="E430" i="2"/>
  <c r="D430" i="2"/>
  <c r="F429" i="2"/>
  <c r="E429" i="2"/>
  <c r="D429" i="2"/>
  <c r="F428" i="2"/>
  <c r="E428" i="2"/>
  <c r="D428" i="2"/>
  <c r="F427" i="2"/>
  <c r="E427" i="2"/>
  <c r="D427" i="2"/>
  <c r="F426" i="2"/>
  <c r="E426" i="2"/>
  <c r="D426" i="2"/>
  <c r="F425" i="2"/>
  <c r="E425" i="2"/>
  <c r="D425" i="2"/>
  <c r="F424" i="2"/>
  <c r="E424" i="2"/>
  <c r="D424" i="2"/>
  <c r="F423" i="2"/>
  <c r="E423" i="2"/>
  <c r="D423" i="2"/>
  <c r="F422" i="2"/>
  <c r="E422" i="2"/>
  <c r="D422" i="2"/>
  <c r="F421" i="2"/>
  <c r="E421" i="2"/>
  <c r="D421" i="2"/>
  <c r="F420" i="2"/>
  <c r="E420" i="2"/>
  <c r="D420" i="2"/>
  <c r="F419" i="2"/>
  <c r="E419" i="2"/>
  <c r="D419" i="2"/>
  <c r="F418" i="2"/>
  <c r="E418" i="2"/>
  <c r="D418" i="2"/>
  <c r="F417" i="2"/>
  <c r="E417" i="2"/>
  <c r="D417" i="2"/>
  <c r="F416" i="2"/>
  <c r="E416" i="2"/>
  <c r="D416" i="2"/>
  <c r="F415" i="2"/>
  <c r="E415" i="2"/>
  <c r="D415" i="2"/>
  <c r="F414" i="2"/>
  <c r="E414" i="2"/>
  <c r="D414" i="2"/>
  <c r="F413" i="2"/>
  <c r="E413" i="2"/>
  <c r="D413" i="2"/>
  <c r="F412" i="2"/>
  <c r="E412" i="2"/>
  <c r="D412" i="2"/>
  <c r="F411" i="2"/>
  <c r="E411" i="2"/>
  <c r="D411" i="2"/>
  <c r="F410" i="2"/>
  <c r="E410" i="2"/>
  <c r="D410" i="2"/>
  <c r="F409" i="2"/>
  <c r="E409" i="2"/>
  <c r="D409" i="2"/>
  <c r="F408" i="2"/>
  <c r="E408" i="2"/>
  <c r="D408" i="2"/>
  <c r="F407" i="2"/>
  <c r="E407" i="2"/>
  <c r="D407" i="2"/>
  <c r="F406" i="2"/>
  <c r="E406" i="2"/>
  <c r="D406" i="2"/>
  <c r="F405" i="2"/>
  <c r="E405" i="2"/>
  <c r="D405" i="2"/>
  <c r="F404" i="2"/>
  <c r="E404" i="2"/>
  <c r="D404" i="2"/>
  <c r="F403" i="2"/>
  <c r="E403" i="2"/>
  <c r="D403" i="2"/>
  <c r="F402" i="2"/>
  <c r="E402" i="2"/>
  <c r="D402" i="2"/>
  <c r="F401" i="2"/>
  <c r="E401" i="2"/>
  <c r="D401" i="2"/>
  <c r="F400" i="2"/>
  <c r="E400" i="2"/>
  <c r="D400" i="2"/>
  <c r="F399" i="2"/>
  <c r="E399" i="2"/>
  <c r="D399" i="2"/>
  <c r="F398" i="2"/>
  <c r="E398" i="2"/>
  <c r="D398" i="2"/>
  <c r="F397" i="2"/>
  <c r="E397" i="2"/>
  <c r="D397" i="2"/>
  <c r="F396" i="2"/>
  <c r="E396" i="2"/>
  <c r="D396" i="2"/>
  <c r="F395" i="2"/>
  <c r="E395" i="2"/>
  <c r="D395" i="2"/>
  <c r="F394" i="2"/>
  <c r="E394" i="2"/>
  <c r="D394" i="2"/>
  <c r="F393" i="2"/>
  <c r="E393" i="2"/>
  <c r="D393" i="2"/>
  <c r="F392" i="2"/>
  <c r="E392" i="2"/>
  <c r="D392" i="2"/>
  <c r="F391" i="2"/>
  <c r="E391" i="2"/>
  <c r="D391" i="2"/>
  <c r="F390" i="2"/>
  <c r="E390" i="2"/>
  <c r="D390" i="2"/>
  <c r="F389" i="2"/>
  <c r="E389" i="2"/>
  <c r="D389" i="2"/>
  <c r="F388" i="2"/>
  <c r="E388" i="2"/>
  <c r="D388" i="2"/>
  <c r="F387" i="2"/>
  <c r="E387" i="2"/>
  <c r="D387" i="2"/>
  <c r="F386" i="2"/>
  <c r="E386" i="2"/>
  <c r="D386" i="2"/>
  <c r="F385" i="2"/>
  <c r="E385" i="2"/>
  <c r="D385" i="2"/>
  <c r="F384" i="2"/>
  <c r="E384" i="2"/>
  <c r="D384" i="2"/>
  <c r="F383" i="2"/>
  <c r="E383" i="2"/>
  <c r="D383" i="2"/>
  <c r="F382" i="2"/>
  <c r="E382" i="2"/>
  <c r="D382" i="2"/>
  <c r="F381" i="2"/>
  <c r="E381" i="2"/>
  <c r="D381" i="2"/>
  <c r="F380" i="2"/>
  <c r="E380" i="2"/>
  <c r="D380" i="2"/>
  <c r="F379" i="2"/>
  <c r="E379" i="2"/>
  <c r="D379" i="2"/>
  <c r="F378" i="2"/>
  <c r="E378" i="2"/>
  <c r="D378" i="2"/>
  <c r="F377" i="2"/>
  <c r="E377" i="2"/>
  <c r="D377" i="2"/>
  <c r="F376" i="2"/>
  <c r="E376" i="2"/>
  <c r="D376" i="2"/>
  <c r="F375" i="2"/>
  <c r="E375" i="2"/>
  <c r="D375" i="2"/>
  <c r="F374" i="2"/>
  <c r="E374" i="2"/>
  <c r="D374" i="2"/>
  <c r="F373" i="2"/>
  <c r="E373" i="2"/>
  <c r="D373" i="2"/>
  <c r="F372" i="2"/>
  <c r="E372" i="2"/>
  <c r="D372" i="2"/>
  <c r="F371" i="2"/>
  <c r="E371" i="2"/>
  <c r="D371" i="2"/>
  <c r="F370" i="2"/>
  <c r="E370" i="2"/>
  <c r="D370" i="2"/>
  <c r="F369" i="2"/>
  <c r="E369" i="2"/>
  <c r="D369" i="2"/>
  <c r="F368" i="2"/>
  <c r="E368" i="2"/>
  <c r="D368" i="2"/>
  <c r="F367" i="2"/>
  <c r="E367" i="2"/>
  <c r="D367" i="2"/>
  <c r="F366" i="2"/>
  <c r="E366" i="2"/>
  <c r="D366" i="2"/>
  <c r="F365" i="2"/>
  <c r="E365" i="2"/>
  <c r="D365" i="2"/>
  <c r="F364" i="2"/>
  <c r="E364" i="2"/>
  <c r="D364" i="2"/>
  <c r="F363" i="2"/>
  <c r="E363" i="2"/>
  <c r="D363" i="2"/>
  <c r="F362" i="2"/>
  <c r="E362" i="2"/>
  <c r="D362" i="2"/>
  <c r="F361" i="2"/>
  <c r="E361" i="2"/>
  <c r="D361" i="2"/>
  <c r="F360" i="2"/>
  <c r="E360" i="2"/>
  <c r="D360" i="2"/>
  <c r="F359" i="2"/>
  <c r="E359" i="2"/>
  <c r="D359" i="2"/>
  <c r="F358" i="2"/>
  <c r="E358" i="2"/>
  <c r="D358" i="2"/>
  <c r="F357" i="2"/>
  <c r="E357" i="2"/>
  <c r="D357" i="2"/>
  <c r="F356" i="2"/>
  <c r="E356" i="2"/>
  <c r="D356" i="2"/>
  <c r="F355" i="2"/>
  <c r="E355" i="2"/>
  <c r="D355" i="2"/>
  <c r="F354" i="2"/>
  <c r="E354" i="2"/>
  <c r="D354" i="2"/>
  <c r="F353" i="2"/>
  <c r="E353" i="2"/>
  <c r="D353" i="2"/>
  <c r="F352" i="2"/>
  <c r="E352" i="2"/>
  <c r="D352" i="2"/>
  <c r="F351" i="2"/>
  <c r="E351" i="2"/>
  <c r="D351" i="2"/>
  <c r="F350" i="2"/>
  <c r="E350" i="2"/>
  <c r="D350" i="2"/>
  <c r="F349" i="2"/>
  <c r="E349" i="2"/>
  <c r="D349" i="2"/>
  <c r="F348" i="2"/>
  <c r="E348" i="2"/>
  <c r="D348" i="2"/>
  <c r="F347" i="2"/>
  <c r="E347" i="2"/>
  <c r="D347" i="2"/>
  <c r="F346" i="2"/>
  <c r="E346" i="2"/>
  <c r="D346" i="2"/>
  <c r="F345" i="2"/>
  <c r="E345" i="2"/>
  <c r="D345" i="2"/>
  <c r="F344" i="2"/>
  <c r="E344" i="2"/>
  <c r="D344" i="2"/>
  <c r="F343" i="2"/>
  <c r="E343" i="2"/>
  <c r="D343" i="2"/>
  <c r="F342" i="2"/>
  <c r="E342" i="2"/>
  <c r="D342" i="2"/>
  <c r="F341" i="2"/>
  <c r="E341" i="2"/>
  <c r="D341" i="2"/>
  <c r="F340" i="2"/>
  <c r="E340" i="2"/>
  <c r="D340" i="2"/>
  <c r="F339" i="2"/>
  <c r="E339" i="2"/>
  <c r="D339" i="2"/>
  <c r="F338" i="2"/>
  <c r="E338" i="2"/>
  <c r="D338" i="2"/>
  <c r="F337" i="2"/>
  <c r="E337" i="2"/>
  <c r="D337" i="2"/>
  <c r="F336" i="2"/>
  <c r="E336" i="2"/>
  <c r="D336" i="2"/>
  <c r="F335" i="2"/>
  <c r="E335" i="2"/>
  <c r="D335" i="2"/>
  <c r="F334" i="2"/>
  <c r="E334" i="2"/>
  <c r="D334" i="2"/>
  <c r="F333" i="2"/>
  <c r="E333" i="2"/>
  <c r="D333" i="2"/>
  <c r="F332" i="2"/>
  <c r="E332" i="2"/>
  <c r="D332" i="2"/>
  <c r="F331" i="2"/>
  <c r="E331" i="2"/>
  <c r="D331" i="2"/>
  <c r="F330" i="2"/>
  <c r="E330" i="2"/>
  <c r="D330" i="2"/>
  <c r="F329" i="2"/>
  <c r="E329" i="2"/>
  <c r="D329" i="2"/>
  <c r="F328" i="2"/>
  <c r="E328" i="2"/>
  <c r="D328" i="2"/>
  <c r="F327" i="2"/>
  <c r="E327" i="2"/>
  <c r="D327" i="2"/>
  <c r="F326" i="2"/>
  <c r="E326" i="2"/>
  <c r="D326" i="2"/>
  <c r="F325" i="2"/>
  <c r="E325" i="2"/>
  <c r="D325" i="2"/>
  <c r="F324" i="2"/>
  <c r="E324" i="2"/>
  <c r="D324" i="2"/>
  <c r="F323" i="2"/>
  <c r="E323" i="2"/>
  <c r="D323" i="2"/>
  <c r="F322" i="2"/>
  <c r="E322" i="2"/>
  <c r="D322" i="2"/>
  <c r="F321" i="2"/>
  <c r="E321" i="2"/>
  <c r="D321" i="2"/>
  <c r="F320" i="2"/>
  <c r="E320" i="2"/>
  <c r="D320" i="2"/>
  <c r="F319" i="2"/>
  <c r="E319" i="2"/>
  <c r="D319" i="2"/>
  <c r="F318" i="2"/>
  <c r="E318" i="2"/>
  <c r="D318" i="2"/>
  <c r="F317" i="2"/>
  <c r="E317" i="2"/>
  <c r="D317" i="2"/>
  <c r="F316" i="2"/>
  <c r="E316" i="2"/>
  <c r="D316" i="2"/>
  <c r="F315" i="2"/>
  <c r="E315" i="2"/>
  <c r="D315" i="2"/>
  <c r="F314" i="2"/>
  <c r="E314" i="2"/>
  <c r="D314" i="2"/>
  <c r="F313" i="2"/>
  <c r="E313" i="2"/>
  <c r="D313" i="2"/>
  <c r="F312" i="2"/>
  <c r="E312" i="2"/>
  <c r="D312" i="2"/>
  <c r="F311" i="2"/>
  <c r="E311" i="2"/>
  <c r="D311" i="2"/>
  <c r="F310" i="2"/>
  <c r="E310" i="2"/>
  <c r="D310" i="2"/>
  <c r="F309" i="2"/>
  <c r="E309" i="2"/>
  <c r="D309" i="2"/>
  <c r="F308" i="2"/>
  <c r="E308" i="2"/>
  <c r="D308" i="2"/>
  <c r="F307" i="2"/>
  <c r="E307" i="2"/>
  <c r="D307" i="2"/>
  <c r="F306" i="2"/>
  <c r="E306" i="2"/>
  <c r="D306" i="2"/>
  <c r="F305" i="2"/>
  <c r="E305" i="2"/>
  <c r="D305" i="2"/>
  <c r="F304" i="2"/>
  <c r="E304" i="2"/>
  <c r="D304" i="2"/>
  <c r="F303" i="2"/>
  <c r="E303" i="2"/>
  <c r="D303" i="2"/>
  <c r="F302" i="2"/>
  <c r="E302" i="2"/>
  <c r="D302" i="2"/>
  <c r="F301" i="2"/>
  <c r="E301" i="2"/>
  <c r="D301" i="2"/>
  <c r="F300" i="2"/>
  <c r="E300" i="2"/>
  <c r="D300" i="2"/>
  <c r="F299" i="2"/>
  <c r="E299" i="2"/>
  <c r="D299" i="2"/>
  <c r="F298" i="2"/>
  <c r="E298" i="2"/>
  <c r="D298" i="2"/>
  <c r="F297" i="2"/>
  <c r="E297" i="2"/>
  <c r="D297" i="2"/>
  <c r="F296" i="2"/>
  <c r="E296" i="2"/>
  <c r="D296" i="2"/>
  <c r="F295" i="2"/>
  <c r="E295" i="2"/>
  <c r="D295" i="2"/>
  <c r="F294" i="2"/>
  <c r="E294" i="2"/>
  <c r="D294" i="2"/>
  <c r="F293" i="2"/>
  <c r="E293" i="2"/>
  <c r="D293" i="2"/>
  <c r="F292" i="2"/>
  <c r="E292" i="2"/>
  <c r="D292" i="2"/>
  <c r="F291" i="2"/>
  <c r="E291" i="2"/>
  <c r="D291" i="2"/>
  <c r="F290" i="2"/>
  <c r="E290" i="2"/>
  <c r="D290" i="2"/>
  <c r="F289" i="2"/>
  <c r="E289" i="2"/>
  <c r="D289" i="2"/>
  <c r="F288" i="2"/>
  <c r="E288" i="2"/>
  <c r="D288" i="2"/>
  <c r="F287" i="2"/>
  <c r="E287" i="2"/>
  <c r="D287" i="2"/>
  <c r="F286" i="2"/>
  <c r="E286" i="2"/>
  <c r="D286" i="2"/>
  <c r="F285" i="2"/>
  <c r="E285" i="2"/>
  <c r="D285" i="2"/>
  <c r="F284" i="2"/>
  <c r="E284" i="2"/>
  <c r="D284" i="2"/>
  <c r="F283" i="2"/>
  <c r="E283" i="2"/>
  <c r="D283" i="2"/>
  <c r="F282" i="2"/>
  <c r="E282" i="2"/>
  <c r="D282" i="2"/>
  <c r="F281" i="2"/>
  <c r="E281" i="2"/>
  <c r="D281" i="2"/>
  <c r="F280" i="2"/>
  <c r="E280" i="2"/>
  <c r="D280" i="2"/>
  <c r="F279" i="2"/>
  <c r="E279" i="2"/>
  <c r="D279" i="2"/>
  <c r="F278" i="2"/>
  <c r="E278" i="2"/>
  <c r="D278" i="2"/>
  <c r="F277" i="2"/>
  <c r="E277" i="2"/>
  <c r="D277" i="2"/>
  <c r="F276" i="2"/>
  <c r="E276" i="2"/>
  <c r="D276" i="2"/>
  <c r="F275" i="2"/>
  <c r="E275" i="2"/>
  <c r="D275" i="2"/>
  <c r="F274" i="2"/>
  <c r="E274" i="2"/>
  <c r="D274" i="2"/>
  <c r="F273" i="2"/>
  <c r="E273" i="2"/>
  <c r="D273" i="2"/>
  <c r="F272" i="2"/>
  <c r="E272" i="2"/>
  <c r="D272" i="2"/>
  <c r="F271" i="2"/>
  <c r="E271" i="2"/>
  <c r="D271" i="2"/>
  <c r="F270" i="2"/>
  <c r="E270" i="2"/>
  <c r="D270" i="2"/>
  <c r="F269" i="2"/>
  <c r="E269" i="2"/>
  <c r="D269" i="2"/>
  <c r="F268" i="2"/>
  <c r="E268" i="2"/>
  <c r="D268" i="2"/>
  <c r="F267" i="2"/>
  <c r="E267" i="2"/>
  <c r="D267" i="2"/>
  <c r="F266" i="2"/>
  <c r="E266" i="2"/>
  <c r="D266" i="2"/>
  <c r="F265" i="2"/>
  <c r="E265" i="2"/>
  <c r="D265" i="2"/>
  <c r="F264" i="2"/>
  <c r="E264" i="2"/>
  <c r="D264" i="2"/>
  <c r="F263" i="2"/>
  <c r="E263" i="2"/>
  <c r="D263" i="2"/>
  <c r="F262" i="2"/>
  <c r="E262" i="2"/>
  <c r="D262" i="2"/>
  <c r="F261" i="2"/>
  <c r="E261" i="2"/>
  <c r="D261" i="2"/>
  <c r="F260" i="2"/>
  <c r="E260" i="2"/>
  <c r="D260" i="2"/>
  <c r="F259" i="2"/>
  <c r="E259" i="2"/>
  <c r="D259" i="2"/>
  <c r="F258" i="2"/>
  <c r="E258" i="2"/>
  <c r="D258" i="2"/>
  <c r="F257" i="2"/>
  <c r="E257" i="2"/>
  <c r="D257" i="2"/>
  <c r="F256" i="2"/>
  <c r="E256" i="2"/>
  <c r="D256" i="2"/>
  <c r="F255" i="2"/>
  <c r="E255" i="2"/>
  <c r="D255" i="2"/>
  <c r="F254" i="2"/>
  <c r="E254" i="2"/>
  <c r="D254" i="2"/>
  <c r="F253" i="2"/>
  <c r="E253" i="2"/>
  <c r="D253" i="2"/>
  <c r="F252" i="2"/>
  <c r="E252" i="2"/>
  <c r="D252" i="2"/>
  <c r="F251" i="2"/>
  <c r="E251" i="2"/>
  <c r="D251" i="2"/>
  <c r="F250" i="2"/>
  <c r="E250" i="2"/>
  <c r="D250" i="2"/>
  <c r="F249" i="2"/>
  <c r="E249" i="2"/>
  <c r="D249" i="2"/>
  <c r="F248" i="2"/>
  <c r="E248" i="2"/>
  <c r="D248" i="2"/>
  <c r="F247" i="2"/>
  <c r="E247" i="2"/>
  <c r="D247" i="2"/>
  <c r="F246" i="2"/>
  <c r="E246" i="2"/>
  <c r="D246" i="2"/>
  <c r="F245" i="2"/>
  <c r="E245" i="2"/>
  <c r="D245" i="2"/>
  <c r="F244" i="2"/>
  <c r="E244" i="2"/>
  <c r="D244" i="2"/>
  <c r="F243" i="2"/>
  <c r="E243" i="2"/>
  <c r="D243" i="2"/>
  <c r="F242" i="2"/>
  <c r="E242" i="2"/>
  <c r="D242" i="2"/>
  <c r="F241" i="2"/>
  <c r="E241" i="2"/>
  <c r="D241" i="2"/>
  <c r="F240" i="2"/>
  <c r="E240" i="2"/>
  <c r="D240" i="2"/>
  <c r="F239" i="2"/>
  <c r="E239" i="2"/>
  <c r="D239" i="2"/>
  <c r="F238" i="2"/>
  <c r="E238" i="2"/>
  <c r="D238" i="2"/>
  <c r="F237" i="2"/>
  <c r="E237" i="2"/>
  <c r="D237" i="2"/>
  <c r="F236" i="2"/>
  <c r="E236" i="2"/>
  <c r="D236" i="2"/>
  <c r="F235" i="2"/>
  <c r="E235" i="2"/>
  <c r="D235" i="2"/>
  <c r="F234" i="2"/>
  <c r="E234" i="2"/>
  <c r="D234" i="2"/>
  <c r="F233" i="2"/>
  <c r="E233" i="2"/>
  <c r="D233" i="2"/>
  <c r="F232" i="2"/>
  <c r="E232" i="2"/>
  <c r="D232" i="2"/>
  <c r="F231" i="2"/>
  <c r="E231" i="2"/>
  <c r="D231" i="2"/>
  <c r="F230" i="2"/>
  <c r="E230" i="2"/>
  <c r="D230" i="2"/>
  <c r="F229" i="2"/>
  <c r="E229" i="2"/>
  <c r="D229" i="2"/>
  <c r="F228" i="2"/>
  <c r="E228" i="2"/>
  <c r="D228" i="2"/>
  <c r="F227" i="2"/>
  <c r="E227" i="2"/>
  <c r="D227" i="2"/>
  <c r="F226" i="2"/>
  <c r="E226" i="2"/>
  <c r="D226" i="2"/>
  <c r="F225" i="2"/>
  <c r="E225" i="2"/>
  <c r="D225" i="2"/>
  <c r="F224" i="2"/>
  <c r="E224" i="2"/>
  <c r="D224" i="2"/>
  <c r="F223" i="2"/>
  <c r="E223" i="2"/>
  <c r="D223" i="2"/>
  <c r="F222" i="2"/>
  <c r="E222" i="2"/>
  <c r="D222" i="2"/>
  <c r="F221" i="2"/>
  <c r="E221" i="2"/>
  <c r="D221" i="2"/>
  <c r="F220" i="2"/>
  <c r="E220" i="2"/>
  <c r="D220" i="2"/>
  <c r="F219" i="2"/>
  <c r="E219" i="2"/>
  <c r="D219" i="2"/>
  <c r="F218" i="2"/>
  <c r="E218" i="2"/>
  <c r="D218" i="2"/>
  <c r="F217" i="2"/>
  <c r="E217" i="2"/>
  <c r="D217" i="2"/>
  <c r="F216" i="2"/>
  <c r="E216" i="2"/>
  <c r="D216" i="2"/>
  <c r="F215" i="2"/>
  <c r="E215" i="2"/>
  <c r="D215" i="2"/>
  <c r="F214" i="2"/>
  <c r="E214" i="2"/>
  <c r="D214" i="2"/>
  <c r="F213" i="2"/>
  <c r="E213" i="2"/>
  <c r="D213" i="2"/>
  <c r="F212" i="2"/>
  <c r="E212" i="2"/>
  <c r="D212" i="2"/>
  <c r="F211" i="2"/>
  <c r="E211" i="2"/>
  <c r="D211" i="2"/>
  <c r="F210" i="2"/>
  <c r="E210" i="2"/>
  <c r="D210" i="2"/>
  <c r="F209" i="2"/>
  <c r="E209" i="2"/>
  <c r="D209" i="2"/>
  <c r="F208" i="2"/>
  <c r="E208" i="2"/>
  <c r="D208" i="2"/>
  <c r="F207" i="2"/>
  <c r="E207" i="2"/>
  <c r="D207" i="2"/>
  <c r="F206" i="2"/>
  <c r="E206" i="2"/>
  <c r="D206" i="2"/>
  <c r="F205" i="2"/>
  <c r="E205" i="2"/>
  <c r="D205" i="2"/>
  <c r="F204" i="2"/>
  <c r="E204" i="2"/>
  <c r="D204" i="2"/>
  <c r="F203" i="2"/>
  <c r="E203" i="2"/>
  <c r="D203" i="2"/>
  <c r="F202" i="2"/>
  <c r="E202" i="2"/>
  <c r="D202" i="2"/>
  <c r="F201" i="2"/>
  <c r="E201" i="2"/>
  <c r="D201" i="2"/>
  <c r="F200" i="2"/>
  <c r="E200" i="2"/>
  <c r="D200" i="2"/>
  <c r="F199" i="2"/>
  <c r="E199" i="2"/>
  <c r="D199" i="2"/>
  <c r="F198" i="2"/>
  <c r="E198" i="2"/>
  <c r="D198" i="2"/>
  <c r="F197" i="2"/>
  <c r="E197" i="2"/>
  <c r="D197" i="2"/>
  <c r="F196" i="2"/>
  <c r="E196" i="2"/>
  <c r="D196" i="2"/>
  <c r="F195" i="2"/>
  <c r="E195" i="2"/>
  <c r="D195" i="2"/>
  <c r="F194" i="2"/>
  <c r="E194" i="2"/>
  <c r="D194" i="2"/>
  <c r="F193" i="2"/>
  <c r="E193" i="2"/>
  <c r="D193" i="2"/>
  <c r="F192" i="2"/>
  <c r="E192" i="2"/>
  <c r="D192" i="2"/>
  <c r="F191" i="2"/>
  <c r="E191" i="2"/>
  <c r="D191" i="2"/>
  <c r="F190" i="2"/>
  <c r="E190" i="2"/>
  <c r="D190" i="2"/>
  <c r="F189" i="2"/>
  <c r="E189" i="2"/>
  <c r="D189" i="2"/>
  <c r="F188" i="2"/>
  <c r="E188" i="2"/>
  <c r="D188" i="2"/>
  <c r="F187" i="2"/>
  <c r="E187" i="2"/>
  <c r="D187" i="2"/>
  <c r="F186" i="2"/>
  <c r="E186" i="2"/>
  <c r="D186" i="2"/>
  <c r="F185" i="2"/>
  <c r="E185" i="2"/>
  <c r="D185" i="2"/>
  <c r="F184" i="2"/>
  <c r="E184" i="2"/>
  <c r="D184" i="2"/>
  <c r="F183" i="2"/>
  <c r="E183" i="2"/>
  <c r="D183" i="2"/>
  <c r="F182" i="2"/>
  <c r="E182" i="2"/>
  <c r="D182" i="2"/>
  <c r="F181" i="2"/>
  <c r="E181" i="2"/>
  <c r="D181" i="2"/>
  <c r="F180" i="2"/>
  <c r="E180" i="2"/>
  <c r="D180" i="2"/>
  <c r="F179" i="2"/>
  <c r="E179" i="2"/>
  <c r="D179" i="2"/>
  <c r="F178" i="2"/>
  <c r="E178" i="2"/>
  <c r="D178" i="2"/>
  <c r="F177" i="2"/>
  <c r="E177" i="2"/>
  <c r="D177" i="2"/>
  <c r="F176" i="2"/>
  <c r="E176" i="2"/>
  <c r="D176" i="2"/>
  <c r="F175" i="2"/>
  <c r="E175" i="2"/>
  <c r="D175" i="2"/>
  <c r="F174" i="2"/>
  <c r="E174" i="2"/>
  <c r="D174" i="2"/>
  <c r="F173" i="2"/>
  <c r="E173" i="2"/>
  <c r="D173" i="2"/>
  <c r="F172" i="2"/>
  <c r="E172" i="2"/>
  <c r="D172" i="2"/>
  <c r="F171" i="2"/>
  <c r="E171" i="2"/>
  <c r="D171" i="2"/>
  <c r="F170" i="2"/>
  <c r="E170" i="2"/>
  <c r="D170" i="2"/>
  <c r="F169" i="2"/>
  <c r="E169" i="2"/>
  <c r="D169" i="2"/>
  <c r="F168" i="2"/>
  <c r="E168" i="2"/>
  <c r="D168" i="2"/>
  <c r="F167" i="2"/>
  <c r="E167" i="2"/>
  <c r="D167" i="2"/>
  <c r="F166" i="2"/>
  <c r="E166" i="2"/>
  <c r="D166" i="2"/>
  <c r="F165" i="2"/>
  <c r="E165" i="2"/>
  <c r="D165" i="2"/>
  <c r="F164" i="2"/>
  <c r="E164" i="2"/>
  <c r="D164" i="2"/>
  <c r="F163" i="2"/>
  <c r="E163" i="2"/>
  <c r="D163" i="2"/>
  <c r="F162" i="2"/>
  <c r="E162" i="2"/>
  <c r="D162" i="2"/>
  <c r="F161" i="2"/>
  <c r="E161" i="2"/>
  <c r="D161" i="2"/>
  <c r="F160" i="2"/>
  <c r="E160" i="2"/>
  <c r="D160" i="2"/>
  <c r="F159" i="2"/>
  <c r="E159" i="2"/>
  <c r="D159" i="2"/>
  <c r="F158" i="2"/>
  <c r="E158" i="2"/>
  <c r="D158" i="2"/>
  <c r="F157" i="2"/>
  <c r="E157" i="2"/>
  <c r="D157" i="2"/>
  <c r="F156" i="2"/>
  <c r="E156" i="2"/>
  <c r="D156" i="2"/>
  <c r="F155" i="2"/>
  <c r="E155" i="2"/>
  <c r="D155" i="2"/>
  <c r="F154" i="2"/>
  <c r="E154" i="2"/>
  <c r="D154" i="2"/>
  <c r="F153" i="2"/>
  <c r="E153" i="2"/>
  <c r="D153" i="2"/>
  <c r="F152" i="2"/>
  <c r="E152" i="2"/>
  <c r="D152" i="2"/>
  <c r="F151" i="2"/>
  <c r="E151" i="2"/>
  <c r="D151" i="2"/>
  <c r="F150" i="2"/>
  <c r="E150" i="2"/>
  <c r="D150" i="2"/>
  <c r="F149" i="2"/>
  <c r="E149" i="2"/>
  <c r="D149" i="2"/>
  <c r="F148" i="2"/>
  <c r="E148" i="2"/>
  <c r="D148" i="2"/>
  <c r="F147" i="2"/>
  <c r="E147" i="2"/>
  <c r="D147" i="2"/>
  <c r="F146" i="2"/>
  <c r="E146" i="2"/>
  <c r="D146" i="2"/>
  <c r="F145" i="2"/>
  <c r="E145" i="2"/>
  <c r="D145" i="2"/>
  <c r="F144" i="2"/>
  <c r="E144" i="2"/>
  <c r="D144" i="2"/>
  <c r="F143" i="2"/>
  <c r="E143" i="2"/>
  <c r="D143" i="2"/>
  <c r="F142" i="2"/>
  <c r="E142" i="2"/>
  <c r="D142" i="2"/>
  <c r="F141" i="2"/>
  <c r="E141" i="2"/>
  <c r="D141" i="2"/>
  <c r="F140" i="2"/>
  <c r="E140" i="2"/>
  <c r="D140" i="2"/>
  <c r="F139" i="2"/>
  <c r="E139" i="2"/>
  <c r="D139" i="2"/>
  <c r="F138" i="2"/>
  <c r="E138" i="2"/>
  <c r="D138" i="2"/>
  <c r="F137" i="2"/>
  <c r="E137" i="2"/>
  <c r="D137" i="2"/>
  <c r="F136" i="2"/>
  <c r="E136" i="2"/>
  <c r="D136" i="2"/>
  <c r="F135" i="2"/>
  <c r="E135" i="2"/>
  <c r="D135" i="2"/>
  <c r="F134" i="2"/>
  <c r="E134" i="2"/>
  <c r="D134" i="2"/>
  <c r="F133" i="2"/>
  <c r="E133" i="2"/>
  <c r="D133" i="2"/>
  <c r="F132" i="2"/>
  <c r="E132" i="2"/>
  <c r="D132" i="2"/>
  <c r="F131" i="2"/>
  <c r="E131" i="2"/>
  <c r="D131" i="2"/>
  <c r="F130" i="2"/>
  <c r="E130" i="2"/>
  <c r="D130" i="2"/>
  <c r="F129" i="2"/>
  <c r="E129" i="2"/>
  <c r="D129" i="2"/>
  <c r="F128" i="2"/>
  <c r="E128" i="2"/>
  <c r="D128" i="2"/>
  <c r="F127" i="2"/>
  <c r="E127" i="2"/>
  <c r="D127" i="2"/>
  <c r="F126" i="2"/>
  <c r="E126" i="2"/>
  <c r="D126" i="2"/>
  <c r="F125" i="2"/>
  <c r="E125" i="2"/>
  <c r="D125" i="2"/>
  <c r="F124" i="2"/>
  <c r="E124" i="2"/>
  <c r="D124" i="2"/>
  <c r="F123" i="2"/>
  <c r="E123" i="2"/>
  <c r="D123" i="2"/>
  <c r="F122" i="2"/>
  <c r="E122" i="2"/>
  <c r="D122" i="2"/>
  <c r="F121" i="2"/>
  <c r="E121" i="2"/>
  <c r="D121" i="2"/>
  <c r="F120" i="2"/>
  <c r="E120" i="2"/>
  <c r="D120" i="2"/>
  <c r="F119" i="2"/>
  <c r="E119" i="2"/>
  <c r="D119" i="2"/>
  <c r="F118" i="2"/>
  <c r="E118" i="2"/>
  <c r="D118" i="2"/>
  <c r="F117" i="2"/>
  <c r="E117" i="2"/>
  <c r="D117" i="2"/>
  <c r="F116" i="2"/>
  <c r="E116" i="2"/>
  <c r="D116" i="2"/>
  <c r="F115" i="2"/>
  <c r="E115" i="2"/>
  <c r="D115" i="2"/>
  <c r="F114" i="2"/>
  <c r="E114" i="2"/>
  <c r="D114" i="2"/>
  <c r="F113" i="2"/>
  <c r="E113" i="2"/>
  <c r="D113" i="2"/>
  <c r="F112" i="2"/>
  <c r="E112" i="2"/>
  <c r="D112" i="2"/>
  <c r="F111" i="2"/>
  <c r="E111" i="2"/>
  <c r="D111" i="2"/>
  <c r="F110" i="2"/>
  <c r="E110" i="2"/>
  <c r="D110" i="2"/>
  <c r="F109" i="2"/>
  <c r="E109" i="2"/>
  <c r="D109" i="2"/>
  <c r="F108" i="2"/>
  <c r="E108" i="2"/>
  <c r="D108" i="2"/>
  <c r="F107" i="2"/>
  <c r="E107" i="2"/>
  <c r="D107" i="2"/>
  <c r="F106" i="2"/>
  <c r="E106" i="2"/>
  <c r="D106" i="2"/>
  <c r="F105" i="2"/>
  <c r="E105" i="2"/>
  <c r="D105" i="2"/>
  <c r="F104" i="2"/>
  <c r="E104" i="2"/>
  <c r="D104" i="2"/>
  <c r="F103" i="2"/>
  <c r="E103" i="2"/>
  <c r="D103" i="2"/>
  <c r="F102" i="2"/>
  <c r="E102" i="2"/>
  <c r="D102" i="2"/>
  <c r="F101" i="2"/>
  <c r="E101" i="2"/>
  <c r="D101" i="2"/>
  <c r="F100" i="2"/>
  <c r="E100" i="2"/>
  <c r="D100" i="2"/>
  <c r="F99" i="2"/>
  <c r="E99" i="2"/>
  <c r="D99" i="2"/>
  <c r="F98" i="2"/>
  <c r="E98" i="2"/>
  <c r="D98" i="2"/>
  <c r="F97" i="2"/>
  <c r="E97" i="2"/>
  <c r="D97" i="2"/>
  <c r="F96" i="2"/>
  <c r="E96" i="2"/>
  <c r="D96" i="2"/>
  <c r="F95" i="2"/>
  <c r="E95" i="2"/>
  <c r="D95" i="2"/>
  <c r="F94" i="2"/>
  <c r="E94" i="2"/>
  <c r="D94" i="2"/>
  <c r="F93" i="2"/>
  <c r="E93" i="2"/>
  <c r="D93" i="2"/>
  <c r="F92" i="2"/>
  <c r="E92" i="2"/>
  <c r="D92" i="2"/>
  <c r="F91" i="2"/>
  <c r="E91" i="2"/>
  <c r="D91" i="2"/>
  <c r="F90" i="2"/>
  <c r="E90" i="2"/>
  <c r="D90" i="2"/>
  <c r="F89" i="2"/>
  <c r="E89" i="2"/>
  <c r="D89" i="2"/>
  <c r="F88" i="2"/>
  <c r="E88" i="2"/>
  <c r="D88" i="2"/>
  <c r="F87" i="2"/>
  <c r="E87" i="2"/>
  <c r="D87" i="2"/>
  <c r="F86" i="2"/>
  <c r="E86" i="2"/>
  <c r="D86" i="2"/>
  <c r="F85" i="2"/>
  <c r="E85" i="2"/>
  <c r="D85" i="2"/>
  <c r="F84" i="2"/>
  <c r="E84" i="2"/>
  <c r="D84" i="2"/>
  <c r="F83" i="2"/>
  <c r="E83" i="2"/>
  <c r="D83" i="2"/>
  <c r="F82" i="2"/>
  <c r="E82" i="2"/>
  <c r="D82" i="2"/>
  <c r="F81" i="2"/>
  <c r="E81" i="2"/>
  <c r="D81" i="2"/>
  <c r="F80" i="2"/>
  <c r="E80" i="2"/>
  <c r="D80" i="2"/>
  <c r="F79" i="2"/>
  <c r="E79" i="2"/>
  <c r="D79" i="2"/>
  <c r="F78" i="2"/>
  <c r="E78" i="2"/>
  <c r="D78" i="2"/>
  <c r="F77" i="2"/>
  <c r="E77" i="2"/>
  <c r="D77" i="2"/>
  <c r="F76" i="2"/>
  <c r="E76" i="2"/>
  <c r="D76" i="2"/>
  <c r="F75" i="2"/>
  <c r="E75" i="2"/>
  <c r="D75" i="2"/>
  <c r="F74" i="2"/>
  <c r="E74" i="2"/>
  <c r="D74" i="2"/>
  <c r="F73" i="2"/>
  <c r="E73" i="2"/>
  <c r="D73" i="2"/>
  <c r="F72" i="2"/>
  <c r="E72" i="2"/>
  <c r="D72" i="2"/>
  <c r="F71" i="2"/>
  <c r="E71" i="2"/>
  <c r="D71" i="2"/>
  <c r="F70" i="2"/>
  <c r="E70" i="2"/>
  <c r="D70" i="2"/>
  <c r="F69" i="2"/>
  <c r="E69" i="2"/>
  <c r="D69" i="2"/>
  <c r="F68" i="2"/>
  <c r="E68" i="2"/>
  <c r="D68" i="2"/>
  <c r="F67" i="2"/>
  <c r="E67" i="2"/>
  <c r="D67" i="2"/>
  <c r="F66" i="2"/>
  <c r="E66" i="2"/>
  <c r="D66" i="2"/>
  <c r="F65" i="2"/>
  <c r="E65" i="2"/>
  <c r="D65" i="2"/>
  <c r="F64" i="2"/>
  <c r="E64" i="2"/>
  <c r="D64" i="2"/>
  <c r="F63" i="2"/>
  <c r="E63" i="2"/>
  <c r="D63" i="2"/>
  <c r="F62" i="2"/>
  <c r="E62" i="2"/>
  <c r="D62" i="2"/>
  <c r="F61" i="2"/>
  <c r="E61" i="2"/>
  <c r="D61" i="2"/>
  <c r="F60" i="2"/>
  <c r="E60" i="2"/>
  <c r="D60" i="2"/>
  <c r="F59" i="2"/>
  <c r="E59" i="2"/>
  <c r="D59" i="2"/>
  <c r="F58" i="2"/>
  <c r="E58" i="2"/>
  <c r="D58" i="2"/>
  <c r="F57" i="2"/>
  <c r="E57" i="2"/>
  <c r="D57" i="2"/>
  <c r="F56" i="2"/>
  <c r="E56" i="2"/>
  <c r="D56" i="2"/>
  <c r="F55" i="2"/>
  <c r="E55" i="2"/>
  <c r="D55" i="2"/>
  <c r="F54" i="2"/>
  <c r="E54" i="2"/>
  <c r="D54" i="2"/>
  <c r="F53" i="2"/>
  <c r="E53" i="2"/>
  <c r="D53" i="2"/>
  <c r="F52" i="2"/>
  <c r="E52" i="2"/>
  <c r="D52" i="2"/>
  <c r="F51" i="2"/>
  <c r="E51" i="2"/>
  <c r="D51" i="2"/>
  <c r="F50" i="2"/>
  <c r="E50" i="2"/>
  <c r="D50" i="2"/>
  <c r="F49" i="2"/>
  <c r="E49" i="2"/>
  <c r="D49" i="2"/>
  <c r="F48" i="2"/>
  <c r="E48" i="2"/>
  <c r="D48" i="2"/>
  <c r="F47" i="2"/>
  <c r="E47" i="2"/>
  <c r="D47" i="2"/>
  <c r="F46" i="2"/>
  <c r="E46" i="2"/>
  <c r="D46" i="2"/>
  <c r="F45" i="2"/>
  <c r="E45" i="2"/>
  <c r="D45" i="2"/>
  <c r="F44" i="2"/>
  <c r="E44" i="2"/>
  <c r="D44" i="2"/>
  <c r="F43" i="2"/>
  <c r="E43" i="2"/>
  <c r="D43" i="2"/>
  <c r="F42" i="2"/>
  <c r="E42" i="2"/>
  <c r="D42" i="2"/>
  <c r="F41" i="2"/>
  <c r="E41" i="2"/>
  <c r="D41" i="2"/>
  <c r="F40" i="2"/>
  <c r="E40" i="2"/>
  <c r="D40" i="2"/>
  <c r="F39" i="2"/>
  <c r="E39" i="2"/>
  <c r="D39" i="2"/>
  <c r="F38" i="2"/>
  <c r="E38" i="2"/>
  <c r="D38" i="2"/>
  <c r="F37" i="2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C37" i="1"/>
  <c r="A37" i="1"/>
  <c r="B27" i="1"/>
  <c r="B26" i="1"/>
  <c r="C24" i="1"/>
  <c r="E23" i="1"/>
  <c r="C23" i="1"/>
  <c r="E22" i="1"/>
  <c r="C22" i="1"/>
  <c r="C21" i="1"/>
  <c r="C8" i="1"/>
  <c r="H49" i="4"/>
  <c r="G49" i="4"/>
  <c r="E24" i="4"/>
  <c r="B24" i="4"/>
  <c r="E23" i="4"/>
  <c r="B23" i="4"/>
  <c r="E22" i="4"/>
  <c r="B22" i="4"/>
  <c r="E21" i="4"/>
  <c r="B21" i="4"/>
  <c r="E20" i="4"/>
  <c r="B20" i="4"/>
  <c r="B14" i="4"/>
  <c r="B6" i="4"/>
  <c r="B4" i="4"/>
  <c r="B37" i="1" l="1"/>
  <c r="B31" i="1" s="1"/>
  <c r="B32" i="1"/>
  <c r="M31" i="6"/>
  <c r="B54" i="3"/>
  <c r="B23" i="3"/>
  <c r="A54" i="3"/>
  <c r="A6" i="3"/>
  <c r="A23" i="3" s="1"/>
  <c r="B44" i="5"/>
  <c r="F48" i="3" s="1"/>
  <c r="B38" i="5"/>
  <c r="F64" i="3"/>
  <c r="E59" i="3"/>
  <c r="B7" i="3"/>
  <c r="M6" i="3"/>
  <c r="N6" i="3" s="1"/>
  <c r="E6" i="3"/>
  <c r="D6" i="3"/>
  <c r="C20" i="4"/>
  <c r="B30" i="3"/>
  <c r="C21" i="4"/>
  <c r="C22" i="4"/>
  <c r="C38" i="1"/>
  <c r="C39" i="1" s="1"/>
  <c r="C40" i="1" s="1"/>
  <c r="C41" i="1" s="1"/>
  <c r="C42" i="1" s="1"/>
  <c r="C43" i="1" s="1"/>
  <c r="C44" i="1" s="1"/>
  <c r="C45" i="1" s="1"/>
  <c r="C46" i="1" s="1"/>
  <c r="B38" i="1"/>
  <c r="B39" i="1" s="1"/>
  <c r="B40" i="1" s="1"/>
  <c r="B41" i="1" s="1"/>
  <c r="B42" i="1" s="1"/>
  <c r="B43" i="1" s="1"/>
  <c r="B44" i="1" s="1"/>
  <c r="B45" i="1" s="1"/>
  <c r="B46" i="1" s="1"/>
  <c r="A38" i="1"/>
  <c r="A39" i="1" s="1"/>
  <c r="A40" i="1" s="1"/>
  <c r="A41" i="1" s="1"/>
  <c r="A42" i="1" s="1"/>
  <c r="A43" i="1" s="1"/>
  <c r="A44" i="1" s="1"/>
  <c r="A45" i="1" s="1"/>
  <c r="A46" i="1" s="1"/>
  <c r="C24" i="4"/>
  <c r="C23" i="4"/>
  <c r="F6" i="3" l="1"/>
  <c r="B39" i="5"/>
  <c r="B31" i="3"/>
  <c r="C7" i="3"/>
  <c r="C24" i="3" s="1"/>
  <c r="D7" i="3"/>
  <c r="E7" i="3"/>
  <c r="H7" i="3"/>
  <c r="H24" i="3" s="1"/>
  <c r="M7" i="3"/>
  <c r="N7" i="3" s="1"/>
  <c r="B8" i="3"/>
  <c r="B24" i="3"/>
  <c r="A55" i="3"/>
  <c r="B55" i="3"/>
  <c r="A7" i="3"/>
  <c r="E23" i="3"/>
  <c r="F54" i="3"/>
  <c r="D23" i="3"/>
  <c r="C54" i="3"/>
  <c r="H6" i="3"/>
  <c r="C6" i="3"/>
  <c r="G6" i="3" l="1"/>
  <c r="G23" i="3" s="1"/>
  <c r="F23" i="3"/>
  <c r="J6" i="3"/>
  <c r="I6" i="3"/>
  <c r="B50" i="5"/>
  <c r="F50" i="3" s="1"/>
  <c r="F47" i="3"/>
  <c r="D24" i="3"/>
  <c r="C55" i="3"/>
  <c r="E24" i="3"/>
  <c r="F55" i="3"/>
  <c r="C8" i="3"/>
  <c r="C25" i="3" s="1"/>
  <c r="D8" i="3"/>
  <c r="E8" i="3"/>
  <c r="H8" i="3"/>
  <c r="H25" i="3" s="1"/>
  <c r="B25" i="3"/>
  <c r="M8" i="3"/>
  <c r="N8" i="3" s="1"/>
  <c r="B9" i="3"/>
  <c r="A56" i="3"/>
  <c r="B56" i="3"/>
  <c r="A8" i="3"/>
  <c r="F7" i="3"/>
  <c r="A24" i="3"/>
  <c r="D54" i="3"/>
  <c r="E54" i="3" s="1"/>
  <c r="G54" i="3"/>
  <c r="H23" i="3"/>
  <c r="C23" i="3"/>
  <c r="G55" i="3" l="1"/>
  <c r="O6" i="3"/>
  <c r="L6" i="3"/>
  <c r="K6" i="3"/>
  <c r="P6" i="3"/>
  <c r="D55" i="3"/>
  <c r="E55" i="3" s="1"/>
  <c r="D25" i="3"/>
  <c r="C56" i="3"/>
  <c r="G56" i="3" s="1"/>
  <c r="E25" i="3"/>
  <c r="F56" i="3"/>
  <c r="C9" i="3"/>
  <c r="D9" i="3"/>
  <c r="E9" i="3"/>
  <c r="H9" i="3"/>
  <c r="H26" i="3" s="1"/>
  <c r="M9" i="3"/>
  <c r="N9" i="3" s="1"/>
  <c r="B10" i="3"/>
  <c r="A57" i="3"/>
  <c r="B57" i="3"/>
  <c r="B26" i="3"/>
  <c r="A9" i="3"/>
  <c r="E56" i="3"/>
  <c r="F8" i="3"/>
  <c r="A25" i="3"/>
  <c r="G7" i="3"/>
  <c r="F24" i="3"/>
  <c r="I7" i="3"/>
  <c r="J7" i="3"/>
  <c r="R6" i="3" l="1"/>
  <c r="J23" i="3"/>
  <c r="Q6" i="3"/>
  <c r="I23" i="3"/>
  <c r="D56" i="3"/>
  <c r="C26" i="3"/>
  <c r="C57" i="3"/>
  <c r="D26" i="3"/>
  <c r="F57" i="3"/>
  <c r="E26" i="3"/>
  <c r="C10" i="3"/>
  <c r="C27" i="3" s="1"/>
  <c r="D10" i="3"/>
  <c r="F43" i="3" s="1"/>
  <c r="E10" i="3"/>
  <c r="H10" i="3"/>
  <c r="H27" i="3" s="1"/>
  <c r="M10" i="3"/>
  <c r="N10" i="3" s="1"/>
  <c r="A58" i="3"/>
  <c r="B58" i="3"/>
  <c r="B27" i="3"/>
  <c r="A10" i="3"/>
  <c r="F9" i="3"/>
  <c r="A26" i="3"/>
  <c r="G8" i="3"/>
  <c r="F25" i="3"/>
  <c r="L7" i="3"/>
  <c r="K7" i="3"/>
  <c r="G24" i="3"/>
  <c r="O7" i="3"/>
  <c r="P7" i="3"/>
  <c r="I8" i="3"/>
  <c r="O8" i="3" s="1"/>
  <c r="J8" i="3"/>
  <c r="P8" i="3" s="1"/>
  <c r="F45" i="3"/>
  <c r="K23" i="3" l="1"/>
  <c r="L23" i="3"/>
  <c r="G57" i="3"/>
  <c r="D11" i="3"/>
  <c r="D57" i="3"/>
  <c r="E57" i="3" s="1"/>
  <c r="E11" i="3"/>
  <c r="C58" i="3"/>
  <c r="D27" i="3"/>
  <c r="F58" i="3"/>
  <c r="E27" i="3"/>
  <c r="F10" i="3"/>
  <c r="A27" i="3"/>
  <c r="G9" i="3"/>
  <c r="F26" i="3"/>
  <c r="L8" i="3"/>
  <c r="K8" i="3"/>
  <c r="G25" i="3"/>
  <c r="J24" i="3"/>
  <c r="L24" i="3" s="1"/>
  <c r="R7" i="3"/>
  <c r="I24" i="3"/>
  <c r="K24" i="3" s="1"/>
  <c r="Q7" i="3"/>
  <c r="H11" i="3"/>
  <c r="H28" i="3" s="1"/>
  <c r="J9" i="3"/>
  <c r="P9" i="3" s="1"/>
  <c r="C11" i="3"/>
  <c r="C28" i="3" s="1"/>
  <c r="I9" i="3"/>
  <c r="O9" i="3" s="1"/>
  <c r="G58" i="3" l="1"/>
  <c r="D58" i="3"/>
  <c r="E58" i="3" s="1"/>
  <c r="F41" i="3"/>
  <c r="D28" i="3"/>
  <c r="C59" i="3"/>
  <c r="D59" i="3" s="1"/>
  <c r="E28" i="3"/>
  <c r="F59" i="3"/>
  <c r="G10" i="3"/>
  <c r="F27" i="3"/>
  <c r="L9" i="3"/>
  <c r="K9" i="3"/>
  <c r="G26" i="3"/>
  <c r="J25" i="3"/>
  <c r="L25" i="3" s="1"/>
  <c r="R8" i="3"/>
  <c r="I25" i="3"/>
  <c r="K25" i="3" s="1"/>
  <c r="Q8" i="3"/>
  <c r="J10" i="3"/>
  <c r="I10" i="3"/>
  <c r="K10" i="3" l="1"/>
  <c r="L10" i="3"/>
  <c r="G27" i="3"/>
  <c r="J26" i="3"/>
  <c r="L26" i="3" s="1"/>
  <c r="R9" i="3"/>
  <c r="I26" i="3"/>
  <c r="K26" i="3" s="1"/>
  <c r="Q9" i="3"/>
  <c r="J11" i="3"/>
  <c r="P10" i="3"/>
  <c r="P11" i="3" s="1"/>
  <c r="I11" i="3"/>
  <c r="O10" i="3"/>
  <c r="O11" i="3" s="1"/>
  <c r="L11" i="3" l="1"/>
  <c r="K11" i="3"/>
  <c r="I27" i="3"/>
  <c r="K27" i="3" s="1"/>
  <c r="Q10" i="3"/>
  <c r="Q11" i="3" s="1"/>
  <c r="J27" i="3"/>
  <c r="L27" i="3" s="1"/>
  <c r="R10" i="3"/>
  <c r="R11" i="3" s="1"/>
  <c r="F14" i="3"/>
  <c r="L28" i="3" l="1"/>
  <c r="J28" i="3"/>
  <c r="F17" i="3"/>
  <c r="K28" i="3"/>
  <c r="I28" i="3"/>
  <c r="F15" i="3"/>
  <c r="F16" i="3" s="1"/>
  <c r="F18" i="3" s="1"/>
  <c r="F19" i="3" s="1"/>
  <c r="B32" i="3" l="1"/>
  <c r="F44" i="3"/>
  <c r="B17" i="4"/>
  <c r="B33" i="3" l="1"/>
  <c r="B37" i="3"/>
  <c r="B34" i="3" l="1"/>
  <c r="B16" i="4" s="1"/>
  <c r="B35" i="3"/>
  <c r="B10" i="4" l="1"/>
  <c r="B12" i="4" s="1"/>
  <c r="F40" i="3"/>
  <c r="G40" i="3" s="1"/>
  <c r="B15" i="4"/>
  <c r="D22" i="4" l="1"/>
  <c r="F22" i="4" s="1"/>
  <c r="G22" i="4" s="1"/>
  <c r="D20" i="4"/>
  <c r="F20" i="4" s="1"/>
  <c r="G20" i="4" s="1"/>
  <c r="D21" i="4"/>
  <c r="F21" i="4" s="1"/>
  <c r="G21" i="4" s="1"/>
  <c r="D23" i="4"/>
  <c r="F23" i="4" s="1"/>
  <c r="G23" i="4" s="1"/>
  <c r="D24" i="4"/>
  <c r="F24" i="4" s="1"/>
  <c r="G2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 Indication</author>
    <author>Hunt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Maturity = months elapsed from Jan 1 of the accident year to the valuation date, calculated as YEARFRAC × 12.
WHY THIS IS CORRECT: The LDF model is an exponential regression fit to continuous maturity values — interpolating at 12.43 months is mathematically valid on that curve. Hardcoding 12/24/36 assumes a Dec 31 valuation date; YEARFRAC gives the right answer for any valuation date.
Example: valuation Jan 14 → AY2025 maturity = 12.43 months (not rounded to 12).</t>
        </r>
      </text>
    </comment>
    <comment ref="F41" authorId="1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Refers to UW MGR if large losses have an outsized impact on the indication (uncapped vs. capped method more than 2x difference)</t>
        </r>
      </text>
    </comment>
    <comment ref="F42" authorId="1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Refers to UW MGR if greater than 3 months</t>
        </r>
      </text>
    </comment>
    <comment ref="F43" authorId="1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Refers to UW MGR if less than 5 claims or 4 or more years without claims</t>
        </r>
      </text>
    </comment>
    <comment ref="F44" authorId="1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Refers to UW MGR if the Target Premium is more than 50% off our indication</t>
        </r>
      </text>
    </comment>
  </commentList>
</comments>
</file>

<file path=xl/sharedStrings.xml><?xml version="1.0" encoding="utf-8"?>
<sst xmlns="http://schemas.openxmlformats.org/spreadsheetml/2006/main" count="624" uniqueCount="368">
  <si>
    <t>MAINSTREET UMBRELLA INDICATION  —  $5M Excess Facility (Authentic / Builders)</t>
  </si>
  <si>
    <t xml:space="preserve">  INPUTS</t>
  </si>
  <si>
    <t>Account Name</t>
  </si>
  <si>
    <t>← from Setup!B4</t>
  </si>
  <si>
    <t>Attachment Point  (=Underlying GL Limits)</t>
  </si>
  <si>
    <t>← First-$5M program follows underlying. Pulls from Setup!B6.</t>
  </si>
  <si>
    <t>Hazard Tier  (UW Manager assigns)</t>
  </si>
  <si>
    <t>Medium</t>
  </si>
  <si>
    <t>← Required: Medium / High  (Low not used per Mainstreet guidelines)</t>
  </si>
  <si>
    <t>Schedule / Judgment Mod</t>
  </si>
  <si>
    <t>← Default 1.00. Range 0.75-1.25 in 0.05 steps. UW Manager adjusts.</t>
  </si>
  <si>
    <t>Underlying GL Primary Premium  (Auto-Pull)</t>
  </si>
  <si>
    <t>← Auto: Selected Premium (B36) if entered; else CL-Only Premium Indication (B35)</t>
  </si>
  <si>
    <t>Underlying Premium Used</t>
  </si>
  <si>
    <t>← Same as B10. Drives the umbrella calc.  Premium = Underlying x (ILF - Attach Factor) x Sched Mod</t>
  </si>
  <si>
    <t>** KEY ASSUMPTION:  The umbrella premium is computed as a load on the UNDERLYING PRIMARY GL PREMIUM. Auto-pull at B10 reads Indication!B36 (Selected Premium) if non-zero, else falls back to Indication!B35 (CL-Only Premium Indication).  If quoting excess over a different primary, enter that figure directly in Indication!B36 (Selected Premium) and it will flow through here. Mis-set this and the umbrella quote will be off proportionally.</t>
  </si>
  <si>
    <t xml:space="preserve">    For reference - Selected Premium  (Indication!B36)</t>
  </si>
  <si>
    <t xml:space="preserve">    For reference - CL-Only Premium Indication  (Indication!B35,  default fallback)</t>
  </si>
  <si>
    <t xml:space="preserve">    For reference - KB CL-Only with 90%-of-expiring floor  (Indication!B34)</t>
  </si>
  <si>
    <t xml:space="preserve">    For reference - HH Blended Indication  (Indication!F19)</t>
  </si>
  <si>
    <t xml:space="preserve">  LADDERED UMBRELLA QUOTES  (per layer over selected attachment) — Min Premium column is CUMULATIVE (stacks prior layer minimums)</t>
  </si>
  <si>
    <t>Umbrella Limit</t>
  </si>
  <si>
    <t>ILF Factor</t>
  </si>
  <si>
    <t>Attach Factor</t>
  </si>
  <si>
    <t>Calc'd Premium</t>
  </si>
  <si>
    <t>Min Premium</t>
  </si>
  <si>
    <t>FINAL PREMIUM</t>
  </si>
  <si>
    <t>Load %  (of underlying)</t>
  </si>
  <si>
    <t xml:space="preserve">    ^ $5M = the Mainstreet umbrella facility's max capacity. Highlighted row is the headline quote.</t>
  </si>
  <si>
    <t xml:space="preserve">  REFERENCE TABLES  (Mainstreet rater factors, approved by capacity partners)</t>
  </si>
  <si>
    <t>Standard Exclusions / Forms  (umbrella follows underlying except as noted)</t>
  </si>
  <si>
    <t>ILF Factor Table</t>
  </si>
  <si>
    <t>-  ISO Excess Liability form;  follows underlying primary in form and intent</t>
  </si>
  <si>
    <t>Limit</t>
  </si>
  <si>
    <t>High</t>
  </si>
  <si>
    <t>-  Construction Activities Exclusion</t>
  </si>
  <si>
    <t>-  Discrimination Exclusion</t>
  </si>
  <si>
    <t>-  Communicable Disease Exclusion</t>
  </si>
  <si>
    <t>-  Anti-Stacking Provisions</t>
  </si>
  <si>
    <t>-  Silica / Silica-Related Dust Exclusion</t>
  </si>
  <si>
    <t>-  PFAS Exclusion</t>
  </si>
  <si>
    <t>-  Absolute Pollution Exclusion</t>
  </si>
  <si>
    <t>Aggregate Limit Factor  (attachment-point discount)</t>
  </si>
  <si>
    <t>-  Nuclear Energy Liability Exclusion</t>
  </si>
  <si>
    <t>GL Limit</t>
  </si>
  <si>
    <t>Factor</t>
  </si>
  <si>
    <t>-  Cannabis Exclusion  (hemp exception)</t>
  </si>
  <si>
    <t>$1MM/$2MM</t>
  </si>
  <si>
    <t>-  Absolute Lead Exclusion</t>
  </si>
  <si>
    <t>$2MM/$4MM</t>
  </si>
  <si>
    <t>-  North American War Exclusion</t>
  </si>
  <si>
    <t>-  Sexual Abuse &amp; Molestation (SAM):  ALWAYS EXCLUDED ON UMBRELLA  (separate, sublimit, or otherwise)</t>
  </si>
  <si>
    <t>Updated Minimum Premium  (hazard-tiered)</t>
  </si>
  <si>
    <t>-  Liquor Liability:  follows underlying  -  not in AL/VT/DC/AK/SC; restaurants only; &lt;30% revenue; TIPS req'd</t>
  </si>
  <si>
    <t>-  Assault &amp; Battery:  silent unless loss-driven exclude  (loss runs review)</t>
  </si>
  <si>
    <t>-  Professional Liability:  follows underlying positioning;  not for restaurant classes</t>
  </si>
  <si>
    <t>-  No sublimited coverages extended on umbrella</t>
  </si>
  <si>
    <t>Eligibility Snapshot  (refer to Mainstreet Umbrella Guidelines for full list)</t>
  </si>
  <si>
    <t>ELIGIBLE CLASSES:  Coffee shops, fitness/martial arts/spa, restaurants (FF/FD/FS), retail, supermarket,</t>
  </si>
  <si>
    <t>Stack Total</t>
  </si>
  <si>
    <t xml:space="preserve">                   laundry/dry cleaning, professional service office, A&amp;E (GL only).</t>
  </si>
  <si>
    <t>DECLINES:  Construction/contractors, trucking/auto-delivery, roofing/framing/siding, snow plow, work &gt;6ft depth or &gt;30ft height,</t>
  </si>
  <si>
    <t>Schedule / Judgment Mod Range  (allowable values)</t>
  </si>
  <si>
    <t xml:space="preserve">           tree services, security, blasting/demo, liquor stores, tattoo/piercing, vacant buildings, solar install, asbestos/PCB.</t>
  </si>
  <si>
    <t>Tier</t>
  </si>
  <si>
    <t>DESK REVIEW REQ'D:  Payroll &gt;$15M/loc, revenue &gt;$30M/loc, prior cancel/non-renewal in last 5y, OSHA serious violations 3y,</t>
  </si>
  <si>
    <t xml:space="preserve">                    business-related lawsuits, any known losses/circumstances giving rise to claim, any prior SAM claim.</t>
  </si>
  <si>
    <t>GL RATE INDICATION  —  SETUP &amp; ASSUMPTIONS</t>
  </si>
  <si>
    <t>ACCOUNT &amp; POLICY INFORMATION</t>
  </si>
  <si>
    <t>← Green cells = required inputs</t>
  </si>
  <si>
    <t>Application ID</t>
  </si>
  <si>
    <t>Valuation Date of Loss Runs</t>
  </si>
  <si>
    <t>Prospective Year Annual Sales ($)</t>
  </si>
  <si>
    <t>Competing/Expiring Premium ($)</t>
  </si>
  <si>
    <t>Deductible per Occurrence ($)</t>
  </si>
  <si>
    <t>← Use dropdown for standard amounts ($0 / $5K / $10K / $25K / $50K / $100K), or type any whole-dollar amount</t>
  </si>
  <si>
    <t>LOSS DEVELOPMENT FACTORS</t>
  </si>
  <si>
    <t>LDF Source</t>
  </si>
  <si>
    <t>Everspan Fitted</t>
  </si>
  <si>
    <t>LOSS LIMIT SELECTION</t>
  </si>
  <si>
    <t>Selected Per-Occurrence Loss Limit</t>
  </si>
  <si>
    <t>$100K</t>
  </si>
  <si>
    <t>Capped / Uncapped Weighting  (Capped %)</t>
  </si>
  <si>
    <t>CL / BF Blending Weight  (CL %)</t>
  </si>
  <si>
    <t>ISO Excess Rate Table  (per-occ limit → gross-up factor to unlimited)</t>
  </si>
  <si>
    <t>Loss Limit</t>
  </si>
  <si>
    <t>ISO XS Rate  ($1M Occ. Limit)</t>
  </si>
  <si>
    <t>ISO XS Rate  ($2M Occ. Limit)</t>
  </si>
  <si>
    <t>Source / Notes</t>
  </si>
  <si>
    <t>KB carrier filing; verify vs ISO CGL ELF (Hazard Group, Rule 56)</t>
  </si>
  <si>
    <t>$250K</t>
  </si>
  <si>
    <t>Enter from ISO CGL ELF table — Hazard Group specific (ISO Circular LI-CF)</t>
  </si>
  <si>
    <t>$500K</t>
  </si>
  <si>
    <t>Unlimited</t>
  </si>
  <si>
    <t>No per-claim cap; $1M basis = 1.000; $2M basis = XS $2M/$1M factor above</t>
  </si>
  <si>
    <t>ISO XS Additional Factor  (XS $2M / $1M Layer)</t>
  </si>
  <si>
    <t>Source: KB carrier filing (Hartford/ISO); used to auto-calc $2M occ. limit rates in col C above</t>
  </si>
  <si>
    <t>Selected ISO XS Rate  (→ used by Indication)</t>
  </si>
  <si>
    <t>Numeric Loss Limit  (→ used by LossRun)</t>
  </si>
  <si>
    <t>PRICING ASSUMPTIONS</t>
  </si>
  <si>
    <t>Annual Loss Trend Rate</t>
  </si>
  <si>
    <t>Target Loss Ratio</t>
  </si>
  <si>
    <t>Competing Loss Cost  (per $1,000 Sales)</t>
  </si>
  <si>
    <t>← auto-derived from competing premium, target LR, and most recent AY sales</t>
  </si>
  <si>
    <t>BF A-priori Loss Cost  (per $1,000 Sales)</t>
  </si>
  <si>
    <t>← Auto-derived from Competing Premium × Target LR ÷ Prospective Sales. Override with ISO ($1.5), Hartford ($1.9), or your own estimate.</t>
  </si>
  <si>
    <t>(Referral triggers, credibility flags, and AY instructions are in the Indication sheet.)</t>
  </si>
  <si>
    <t>ANNUAL PREMIUM &amp; SALES BY ACCIDENT YEAR</t>
  </si>
  <si>
    <t>Assumes 5% annual growth for sales and premium unless changed. Use [+] at left margin to expand and enter actual values.</t>
  </si>
  <si>
    <t>Accident Year</t>
  </si>
  <si>
    <t>Annual Sales ($)</t>
  </si>
  <si>
    <t>GL Premium ($)</t>
  </si>
  <si>
    <t>LOSS RUN DATA  —  Enter Loss Date, Case Incurred, and (optional) Valuation Date</t>
  </si>
  <si>
    <t>Loss Date
(MM/DD/YYYY)</t>
  </si>
  <si>
    <t>Case Incurred
Loss ($)</t>
  </si>
  <si>
    <t>Valuation Date
(MM/DD/YYYY — optional)</t>
  </si>
  <si>
    <t>Accident Year
(auto)</t>
  </si>
  <si>
    <t>GL RATE INDICATION  —  Chain Ladder &amp; Bornhuetter-Ferguson</t>
  </si>
  <si>
    <t>To add accident years: insert a row above the CL Totals row and copy formulas from the row above — all aggregate calculations (indication, loss costs, referral triggers) auto-adjust. Optionally insert a matching row in the KB display section and Deductible section for per-AY detail; those totals also auto-adjust.</t>
  </si>
  <si>
    <t>Maturity
(Months)</t>
  </si>
  <si>
    <t>Accident
Year</t>
  </si>
  <si>
    <t>Annual
Sales ($)</t>
  </si>
  <si>
    <t>Loss Dev.
Factor</t>
  </si>
  <si>
    <t>% Claims
Reported</t>
  </si>
  <si>
    <t>Expected
Ultimate ($)</t>
  </si>
  <si>
    <t>CL Ultimate
Uncapped ($)</t>
  </si>
  <si>
    <t>CL Ult.
Capped/Unlim</t>
  </si>
  <si>
    <t>BF Ultimate
Uncapped ($)</t>
  </si>
  <si>
    <t>BF Ult.
Capped/Unlim</t>
  </si>
  <si>
    <t>Trend
Years</t>
  </si>
  <si>
    <t>Trend
Factor</t>
  </si>
  <si>
    <t>CL Trended
Uncapped ($)</t>
  </si>
  <si>
    <t>CL Trended
Capped ($)</t>
  </si>
  <si>
    <t>BF Trended
Uncapped ($)</t>
  </si>
  <si>
    <t>BF Trended
Capped ($)</t>
  </si>
  <si>
    <t>Totals</t>
  </si>
  <si>
    <t>Blended CL Trended Ultimate  (Capped/Uncapped Weighted)</t>
  </si>
  <si>
    <t>Blended BF Trended Ultimate  (Capped/Uncapped Weighted)</t>
  </si>
  <si>
    <t>Final Blended Trended Ultimate  (CL/BF Weighted)</t>
  </si>
  <si>
    <t>Final Blended Ultimate  (Untrended — for reference)</t>
  </si>
  <si>
    <t>Indicated Sales Rate  (per $1,000 Sales)</t>
  </si>
  <si>
    <t>HH Indicated Annual Premium</t>
  </si>
  <si>
    <t>── INDICATION ──</t>
  </si>
  <si>
    <t>Maturity of
Claims (Months)</t>
  </si>
  <si>
    <t>Total Annual
Sales ($)</t>
  </si>
  <si>
    <t>Loss Development
Factor</t>
  </si>
  <si>
    <t>Expected
Loss ($)</t>
  </si>
  <si>
    <t>Ultimate
(Uncapped)</t>
  </si>
  <si>
    <t>Ultimate
(Capped) ($)</t>
  </si>
  <si>
    <t>Loss Cost
(Uncapped)</t>
  </si>
  <si>
    <t>Loss Cost
(Capped)</t>
  </si>
  <si>
    <t>ISO XS Rate  (Selected Limit → Unlimited)</t>
  </si>
  <si>
    <t>ISO XS $2M / $1M</t>
  </si>
  <si>
    <t>Indicated Loss Cost  (Weighted, per $1,000 Sales)</t>
  </si>
  <si>
    <t>Capped / Uncapped Weighting</t>
  </si>
  <si>
    <t>Indicated Rate  (per $1,000 Sales)</t>
  </si>
  <si>
    <t>Prospective Annual Sales</t>
  </si>
  <si>
    <t>KB Premium Indication</t>
  </si>
  <si>
    <t>Premium Indication</t>
  </si>
  <si>
    <t>Selected Premium</t>
  </si>
  <si>
    <t>Expected Loss Ratio</t>
  </si>
  <si>
    <t>Indication Basis</t>
  </si>
  <si>
    <t>── REFERRAL TRIGGERS ──</t>
  </si>
  <si>
    <t>KB vs. HH Premium Variance  (CL-Only vs. CL/BF Blend)</t>
  </si>
  <si>
    <t>Large Loss Influence  (net ultimate − net capped) / net unlimited</t>
  </si>
  <si>
    <t>Age of Loss Runs</t>
  </si>
  <si>
    <t>Claim Data Credibility</t>
  </si>
  <si>
    <t>Competing Premium vs. HH Indicated  (&gt;±15% = REFER)  —  ensure Competing Premium in Setup is NET of deductible when applicable</t>
  </si>
  <si>
    <t>Orphan Claims  (loss dates outside 5-year analysis window)</t>
  </si>
  <si>
    <t>── BENCHMARK RATE CHECK  (detail in Ref sheet) ──</t>
  </si>
  <si>
    <t>Method A — Competing Premium (per $1,000 Sales)</t>
  </si>
  <si>
    <t>Method B — ISO Manual Rates (per $1,000 Sales)</t>
  </si>
  <si>
    <t>Method C — Hartford Manual Rates (per $1,000 Sales)</t>
  </si>
  <si>
    <t>Benchmark Average Rate  (per $1,000 Sales)</t>
  </si>
  <si>
    <t>Gross
Loss ($)</t>
  </si>
  <si>
    <t>Net
Unlimited</t>
  </si>
  <si>
    <t>Deductible
Eliminated</t>
  </si>
  <si>
    <t>LER %</t>
  </si>
  <si>
    <t>Net Capped
Loss ($)</t>
  </si>
  <si>
    <t>Deductible Note</t>
  </si>
  <si>
    <t>Total  (5-Year)</t>
  </si>
  <si>
    <t>Note: LDF and ISO XS rate are calibrated to gross losses. When ded &gt; $0, applying them to net-of-deductible losses is an approximation. For precise pricing, obtain ISO LER factors by hazard group. The approximation is reasonable for ded ≤ $25K vs. a $100K per-occ limit  |  Maturity (col A) uses YEARFRAC × 12 — months from Jan 1 of each AY to the valuation date. This is more precise than hardcoded 12/24/36 month intervals and correctly handles non-year-end valuation dates by interpolating on the fitted LDF curve.</t>
  </si>
  <si>
    <t>── VALIDATION &amp; ROLLOUT CHECKS  (escalate any REFER to UW manager) ──</t>
  </si>
  <si>
    <t>Setup B9 — Competing Premium populated</t>
  </si>
  <si>
    <t>Setup B26 — Selected XS Rate populated</t>
  </si>
  <si>
    <t>Setup B4 — Account Name format  (no LLC/Inc/LP per desk convention)</t>
  </si>
  <si>
    <t>Setup B10 — Deductible vs ACORD 829 overflow</t>
  </si>
  <si>
    <t>LossRun!C — Carrier valuation dates consistent  (&gt;30-day spread = REFER)</t>
  </si>
  <si>
    <t>LDF TABLES, REGRESSION PARAMETERS &amp; BENCHMARK CALCULATIONS</t>
  </si>
  <si>
    <t>EVERSPAN ANNUAL LDFs  (Source: Everspan Carrier Filing)</t>
  </si>
  <si>
    <t>Maturity (Months)</t>
  </si>
  <si>
    <t>ln(LDF−1)</t>
  </si>
  <si>
    <t>LDF — Actual</t>
  </si>
  <si>
    <t>LDF — Fitted</t>
  </si>
  <si>
    <t>Regression Parameters — Everspan</t>
  </si>
  <si>
    <t>Slope</t>
  </si>
  <si>
    <t>Intercept</t>
  </si>
  <si>
    <t>HARTFORD QUARTERLY LDFs  (Source: Hartford Carrier Filing)</t>
  </si>
  <si>
    <t>Regression Parameters — Hartford</t>
  </si>
  <si>
    <t>Slope (used by Indication → Ref!B32)</t>
  </si>
  <si>
    <t>Intercept (used by Indication → Ref!B33)</t>
  </si>
  <si>
    <t>BENCHMARK RATE CALCULATIONS</t>
  </si>
  <si>
    <t>Method A — Competing / Expiring Premium</t>
  </si>
  <si>
    <t>Benchmark GL Rate  (per $1,000 Sales)  [B38 / Target LR]</t>
  </si>
  <si>
    <t>Method B — ISO Manual Rates</t>
  </si>
  <si>
    <t>ISO GL Loss Cost  (per $1,000 Sales)</t>
  </si>
  <si>
    <t>ISO XS $1M / $100K</t>
  </si>
  <si>
    <t>Benchmark GL Rate  (per $1,000 Sales)  [B42 × ISO XS / Target LR]</t>
  </si>
  <si>
    <t>Method C — Hartford Manual Rates</t>
  </si>
  <si>
    <t>Hartford GL Loss Cost  (per $1,000 Sales)</t>
  </si>
  <si>
    <t>Benchmark GL Rate  (per $1,000 Sales)  [B47 / Target LR]</t>
  </si>
  <si>
    <t>Benchmark Average Rate  (simple average of Methods A–C)</t>
  </si>
  <si>
    <t>COLOR CODING LEGEND</t>
  </si>
  <si>
    <t>Blue text — hardcoded input (user enters)</t>
  </si>
  <si>
    <t>Black text — formula / calculation</t>
  </si>
  <si>
    <t>Green text — cross-sheet link</t>
  </si>
  <si>
    <t>BDE FLORIDA</t>
  </si>
  <si>
    <t>BDE Florida, LLC</t>
  </si>
  <si>
    <t>26-27 Statement of Values</t>
  </si>
  <si>
    <t>Loc No</t>
  </si>
  <si>
    <t>Store Location Number</t>
  </si>
  <si>
    <t>Address</t>
  </si>
  <si>
    <t>City</t>
  </si>
  <si>
    <t>State</t>
  </si>
  <si>
    <t>Zip</t>
  </si>
  <si>
    <t>County</t>
  </si>
  <si>
    <t>Occupancy Type</t>
  </si>
  <si>
    <t>Building 
Limit</t>
  </si>
  <si>
    <t>Contents
Limit</t>
  </si>
  <si>
    <t>Signs
Limit</t>
  </si>
  <si>
    <t>Business Income
Limit</t>
  </si>
  <si>
    <t>Total Insured Values</t>
  </si>
  <si>
    <t>Projected Sales</t>
  </si>
  <si>
    <t>Drive Thru</t>
  </si>
  <si>
    <t>Year Built</t>
  </si>
  <si>
    <t>Square Feet</t>
  </si>
  <si>
    <t>Const. Type</t>
  </si>
  <si>
    <t>No of Stories</t>
  </si>
  <si>
    <t>Sprinker</t>
  </si>
  <si>
    <t>Central Station Alarm</t>
  </si>
  <si>
    <t>Flood Zone</t>
  </si>
  <si>
    <t>PPC Code</t>
  </si>
  <si>
    <t>Distance to Water</t>
  </si>
  <si>
    <t>Hours of Operation</t>
  </si>
  <si>
    <t>Notes</t>
  </si>
  <si>
    <t>3401 5th Ave. N</t>
  </si>
  <si>
    <t>St. Petersburg</t>
  </si>
  <si>
    <t>FL</t>
  </si>
  <si>
    <t>Pinellas</t>
  </si>
  <si>
    <t>Restaurant</t>
  </si>
  <si>
    <t>Y</t>
  </si>
  <si>
    <t>Frame</t>
  </si>
  <si>
    <t>N</t>
  </si>
  <si>
    <t>X</t>
  </si>
  <si>
    <t>5.1 Miles</t>
  </si>
  <si>
    <t>8am - 3am</t>
  </si>
  <si>
    <t>7329 W. Waters Ave.</t>
  </si>
  <si>
    <t>Tampa</t>
  </si>
  <si>
    <t>33634</t>
  </si>
  <si>
    <t>Hillsborough</t>
  </si>
  <si>
    <t>4.6 Miles</t>
  </si>
  <si>
    <t>9am-1am</t>
  </si>
  <si>
    <t>5318 E. Fowler Ave.</t>
  </si>
  <si>
    <t>33617</t>
  </si>
  <si>
    <t>JM</t>
  </si>
  <si>
    <t>19 Miles</t>
  </si>
  <si>
    <t>9am-2am</t>
  </si>
  <si>
    <t>3600 4th St. N</t>
  </si>
  <si>
    <t>33704</t>
  </si>
  <si>
    <t>9.1 Miles</t>
  </si>
  <si>
    <t>9am-1:30am</t>
  </si>
  <si>
    <t>904 Bloomingdale Rd.</t>
  </si>
  <si>
    <t>Brandon</t>
  </si>
  <si>
    <t>33511</t>
  </si>
  <si>
    <t>9.2 Miles</t>
  </si>
  <si>
    <t>9am-12am</t>
  </si>
  <si>
    <t>7313 Gall Blvd.</t>
  </si>
  <si>
    <t>Zephyrhills</t>
  </si>
  <si>
    <t>33541</t>
  </si>
  <si>
    <t>Pasco</t>
  </si>
  <si>
    <t>39.8 Miles</t>
  </si>
  <si>
    <t>7am-3am</t>
  </si>
  <si>
    <t>706 E. Martin Luther King Jr Blvd.  W</t>
  </si>
  <si>
    <t>Seffner</t>
  </si>
  <si>
    <t>33584</t>
  </si>
  <si>
    <t>14.2 Miles</t>
  </si>
  <si>
    <t>1701 E. Fowler Ave.</t>
  </si>
  <si>
    <t>33612</t>
  </si>
  <si>
    <t>16.4 Miles</t>
  </si>
  <si>
    <t>3802 S. Dale Mabry Hwy.</t>
  </si>
  <si>
    <t>33611</t>
  </si>
  <si>
    <t>8 Miles</t>
  </si>
  <si>
    <t>3710 Cortez Rd. W</t>
  </si>
  <si>
    <t>Bradenton</t>
  </si>
  <si>
    <t>34210</t>
  </si>
  <si>
    <t>Manatee</t>
  </si>
  <si>
    <t>3.7 Miles</t>
  </si>
  <si>
    <t>7620 W. Hillsborough Ave.</t>
  </si>
  <si>
    <t>33615</t>
  </si>
  <si>
    <t>2.5 Miles</t>
  </si>
  <si>
    <t>6004 14th St.</t>
  </si>
  <si>
    <t>34207</t>
  </si>
  <si>
    <t>2.1 Miles</t>
  </si>
  <si>
    <t>9am-3am</t>
  </si>
  <si>
    <t>11315 Causeway Blvd.</t>
  </si>
  <si>
    <t>7.1 Miles</t>
  </si>
  <si>
    <t>9am-2:30am</t>
  </si>
  <si>
    <t>9211 US Hwy 19 N</t>
  </si>
  <si>
    <t>Port Richey</t>
  </si>
  <si>
    <t>34668</t>
  </si>
  <si>
    <t>AE</t>
  </si>
  <si>
    <t>12.1 Miles</t>
  </si>
  <si>
    <t>9am-11pm</t>
  </si>
  <si>
    <t>NFIP Flood</t>
  </si>
  <si>
    <t>2442 Jim Redman Pkwy.</t>
  </si>
  <si>
    <t>Plant City</t>
  </si>
  <si>
    <t>33566</t>
  </si>
  <si>
    <t>29.6 Miles</t>
  </si>
  <si>
    <t>640 10th St. E</t>
  </si>
  <si>
    <t>Palmetto</t>
  </si>
  <si>
    <t>34221</t>
  </si>
  <si>
    <t>2.0 Miles</t>
  </si>
  <si>
    <t>12816 US Hwy 301</t>
  </si>
  <si>
    <t>Dade City</t>
  </si>
  <si>
    <t>33525</t>
  </si>
  <si>
    <t>33.1 Miles</t>
  </si>
  <si>
    <t>9442 State Rd. 52</t>
  </si>
  <si>
    <t>Hudson</t>
  </si>
  <si>
    <t>34669</t>
  </si>
  <si>
    <t>3 Miles</t>
  </si>
  <si>
    <t>11118 Bloomingdale Ave.</t>
  </si>
  <si>
    <t>Riverview</t>
  </si>
  <si>
    <t>33578</t>
  </si>
  <si>
    <t>8.8 Miles</t>
  </si>
  <si>
    <t>9am12am</t>
  </si>
  <si>
    <t>3803 W. Minnehaha St.</t>
  </si>
  <si>
    <t>33614</t>
  </si>
  <si>
    <t>6.4 Miles</t>
  </si>
  <si>
    <t xml:space="preserve">903 Pasadena Ave. S </t>
  </si>
  <si>
    <t>South Pasadena</t>
  </si>
  <si>
    <t>7.2 Miles</t>
  </si>
  <si>
    <t>1495 4th St. S</t>
  </si>
  <si>
    <t>33701</t>
  </si>
  <si>
    <t>6.6 Miles</t>
  </si>
  <si>
    <t>9am-11:30am</t>
  </si>
  <si>
    <t>31001 Cortez Blvd.</t>
  </si>
  <si>
    <t>Brooksville</t>
  </si>
  <si>
    <t>34602</t>
  </si>
  <si>
    <t>Hernando</t>
  </si>
  <si>
    <t>25.9 Miles</t>
  </si>
  <si>
    <t>2575 E. Hillsborough Ave.</t>
  </si>
  <si>
    <t>33610</t>
  </si>
  <si>
    <t>4.5 Miles</t>
  </si>
  <si>
    <t>8347 State Rd. 64</t>
  </si>
  <si>
    <t>34212</t>
  </si>
  <si>
    <t>7.58 Miles</t>
  </si>
  <si>
    <t>15215 Garnett Trail</t>
  </si>
  <si>
    <t>34211</t>
  </si>
  <si>
    <t>14.03 Miles</t>
  </si>
  <si>
    <t>40715</t>
  </si>
  <si>
    <t>3824 US 301 S</t>
  </si>
  <si>
    <t>12.5 Miles</t>
  </si>
  <si>
    <t>8am-3am</t>
  </si>
  <si>
    <t>NAMED INSURED</t>
  </si>
  <si>
    <t>ADDRESS</t>
  </si>
  <si>
    <t>SALES</t>
  </si>
  <si>
    <t>SQUARE FOOTAGE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</si>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</sst>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mm/dd/yyyy"/>
    <numFmt numFmtId="165" formatCode="\$#,##0_);&quot;($&quot;#,##0\);\-"/>
    <numFmt numFmtId="166" formatCode="0.0%;\(0.0%\);\-"/>
    <numFmt numFmtId="167" formatCode="0.00;\(0.00\);\-"/>
    <numFmt numFmtId="168" formatCode="#,##0;\(#,##0\);\-"/>
    <numFmt numFmtId="169" formatCode="0.0;\(0.0\);\-"/>
    <numFmt numFmtId="170" formatCode="0.0000;\(0.0000\);\-"/>
    <numFmt numFmtId="171" formatCode="\$#,##0"/>
    <numFmt numFmtId="172" formatCode="0.0000"/>
    <numFmt numFmtId="173" formatCode="0.0%"/>
    <numFmt numFmtId="174" formatCode="&quot;$&quot;#,##0"/>
    <numFmt numFmtId="175" formatCode="_(&quot;$&quot;* #,##0_);_(&quot;$&quot;* \(#,##0\);_(&quot;$&quot;* &quot;-&quot;??_);_(@_)"/>
    <numFmt numFmtId="176" formatCode="0_);\(0\)"/>
  </numFmts>
  <fonts count="58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FFFFFF"/>
      <name val="Calibri"/>
      <family val="2"/>
      <charset val="1"/>
    </font>
    <font>
      <b/>
      <sz val="11"/>
      <color rgb="FF1F3864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0"/>
      <color rgb="FF375623"/>
      <name val="Cambria"/>
      <family val="1"/>
      <charset val="1"/>
    </font>
    <font>
      <i/>
      <sz val="9"/>
      <color rgb="FF595959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FF0000"/>
      <name val="Cambria"/>
      <family val="1"/>
      <charset val="1"/>
    </font>
    <font>
      <sz val="9"/>
      <color rgb="FF008000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family val="1"/>
      <charset val="1"/>
    </font>
    <font>
      <sz val="11"/>
      <color rgb="FF0000FF"/>
      <name val="Cambria"/>
      <family val="1"/>
      <charset val="1"/>
    </font>
    <font>
      <b/>
      <sz val="13"/>
      <color rgb="FFFFFFFF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1"/>
      <color rgb="FF008000"/>
      <name val="Calibri"/>
      <family val="2"/>
      <charset val="1"/>
    </font>
    <font>
      <sz val="10"/>
      <color rgb="FF008000"/>
      <name val="Arial"/>
      <family val="2"/>
      <charset val="1"/>
    </font>
    <font>
      <sz val="10"/>
      <color rgb="FF008000"/>
      <name val="Calibri"/>
      <family val="2"/>
      <charset val="1"/>
    </font>
    <font>
      <i/>
      <sz val="11"/>
      <color rgb="FF595959"/>
      <name val="Calibri"/>
      <family val="2"/>
      <charset val="1"/>
    </font>
    <font>
      <sz val="11"/>
      <color rgb="FF595959"/>
      <name val="Calibri"/>
      <family val="2"/>
      <charset val="1"/>
    </font>
    <font>
      <b/>
      <sz val="11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1"/>
      <name val="Calibri"/>
      <family val="2"/>
    </font>
    <font>
      <b/>
      <sz val="9"/>
      <color rgb="FF000000"/>
      <name val="Arial"/>
      <family val="2"/>
      <charset val="1"/>
    </font>
    <font>
      <b/>
      <sz val="10"/>
      <color rgb="FF008000"/>
      <name val="Arial"/>
      <family val="2"/>
      <charset val="1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i/>
      <sz val="10"/>
      <color rgb="FF595959"/>
      <name val="Calibri"/>
      <family val="2"/>
    </font>
    <font>
      <i/>
      <sz val="11"/>
      <name val="Calibri"/>
      <family val="2"/>
    </font>
    <font>
      <b/>
      <i/>
      <sz val="10"/>
      <color rgb="FFC0000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color rgb="FFFFFFFF"/>
      <name val="Calibri"/>
      <family val="2"/>
      <charset val="1"/>
    </font>
    <font>
      <sz val="10"/>
      <color rgb="FF0000FF"/>
      <name val="Calibri"/>
      <family val="2"/>
      <charset val="1"/>
    </font>
    <font>
      <b/>
      <sz val="11"/>
      <color theme="1"/>
      <name val="Gotham Book"/>
      <family val="3"/>
    </font>
    <font>
      <sz val="11"/>
      <color theme="1"/>
      <name val="Gotham Book"/>
      <family val="3"/>
    </font>
    <font>
      <sz val="11"/>
      <name val="Gotham Book"/>
      <family val="3"/>
    </font>
    <font>
      <sz val="11"/>
      <color theme="1"/>
      <name val="Helvetica"/>
      <family val="2"/>
    </font>
    <font>
      <b/>
      <sz val="10"/>
      <color theme="0"/>
      <name val="Gotham Book"/>
      <family val="3"/>
    </font>
    <font>
      <sz val="10"/>
      <color theme="1"/>
      <name val="Gotham Book"/>
      <family val="3"/>
    </font>
    <font>
      <sz val="9"/>
      <color theme="1" tint="4.9989318521683403E-2"/>
      <name val="Gotham Book"/>
      <family val="3"/>
    </font>
    <font>
      <sz val="10"/>
      <name val="Gotham Book"/>
      <family val="3"/>
    </font>
    <font>
      <sz val="10"/>
      <color rgb="FF000000"/>
      <name val="Gotham Book"/>
      <family val="3"/>
    </font>
    <font>
      <sz val="9"/>
      <color theme="1"/>
      <name val="Gotham Book"/>
      <family val="3"/>
    </font>
    <font>
      <b/>
      <sz val="9"/>
      <color theme="1"/>
      <name val="Gotham Book"/>
      <family val="3"/>
    </font>
    <font>
      <b/>
      <sz val="9"/>
      <name val="Gotham Book"/>
      <family val="3"/>
    </font>
    <font>
      <b/>
      <sz val="9"/>
      <color rgb="FFFF0000"/>
      <name val="Gotham Book"/>
      <family val="3"/>
    </font>
    <font>
      <sz val="9"/>
      <name val="Gotham Book"/>
      <family val="3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E1F2"/>
        <bgColor rgb="FFDCE6F1"/>
      </patternFill>
    </fill>
    <fill>
      <patternFill patternType="solid">
        <fgColor rgb="FFE2EFDA"/>
        <bgColor rgb="FFDDEBF7"/>
      </patternFill>
    </fill>
    <fill>
      <patternFill patternType="solid">
        <fgColor rgb="FFDCE6F1"/>
        <bgColor rgb="FFD9E1F2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CC00"/>
      </patternFill>
    </fill>
    <fill>
      <patternFill patternType="solid">
        <fgColor rgb="FF1F4E79"/>
        <bgColor rgb="FF305496"/>
      </patternFill>
    </fill>
    <fill>
      <patternFill patternType="solid">
        <fgColor rgb="FF2E75B6"/>
        <bgColor rgb="FF305496"/>
      </patternFill>
    </fill>
    <fill>
      <patternFill patternType="solid">
        <fgColor rgb="FFDDEBF7"/>
        <bgColor rgb="FFDCE6F1"/>
      </patternFill>
    </fill>
    <fill>
      <patternFill patternType="solid">
        <fgColor rgb="FFC6EFCE"/>
        <bgColor rgb="FFCCFFCC"/>
      </patternFill>
    </fill>
    <fill>
      <patternFill patternType="solid">
        <fgColor rgb="FFFFF2CC"/>
        <bgColor rgb="FFF2F2F2"/>
      </patternFill>
    </fill>
    <fill>
      <patternFill patternType="solid">
        <fgColor rgb="FF305496"/>
        <bgColor rgb="FF1F4E79"/>
      </patternFill>
    </fill>
    <fill>
      <patternFill patternType="solid">
        <fgColor rgb="FFFFE699"/>
        <bgColor rgb="FFFFF2CC"/>
      </patternFill>
    </fill>
    <fill>
      <patternFill patternType="solid">
        <fgColor indexed="6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0"/>
    <xf numFmtId="0" fontId="1" fillId="0" borderId="0"/>
    <xf numFmtId="0" fontId="47" fillId="0" borderId="0"/>
    <xf numFmtId="0" fontId="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213">
    <xf numFmtId="0" fontId="0" fillId="0" borderId="0" xfId="0"/>
    <xf numFmtId="0" fontId="8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7" fillId="0" borderId="0" xfId="0" applyFont="1"/>
    <xf numFmtId="164" fontId="6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3" fontId="10" fillId="5" borderId="0" xfId="0" applyNumberFormat="1" applyFont="1" applyFill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6" fillId="6" borderId="0" xfId="0" applyFont="1" applyFill="1" applyAlignment="1">
      <alignment horizontal="right" vertical="center"/>
    </xf>
    <xf numFmtId="166" fontId="6" fillId="6" borderId="0" xfId="0" applyNumberFormat="1" applyFont="1" applyFill="1" applyAlignment="1">
      <alignment horizontal="right" vertical="center"/>
    </xf>
    <xf numFmtId="0" fontId="5" fillId="0" borderId="0" xfId="0" applyFont="1"/>
    <xf numFmtId="0" fontId="12" fillId="7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right" vertical="center"/>
    </xf>
    <xf numFmtId="167" fontId="5" fillId="0" borderId="0" xfId="0" applyNumberFormat="1" applyFont="1" applyAlignment="1">
      <alignment horizontal="right"/>
    </xf>
    <xf numFmtId="0" fontId="8" fillId="0" borderId="0" xfId="0" applyFont="1" applyAlignment="1">
      <alignment horizontal="left" wrapText="1"/>
    </xf>
    <xf numFmtId="167" fontId="6" fillId="6" borderId="0" xfId="0" applyNumberFormat="1" applyFont="1" applyFill="1" applyAlignment="1">
      <alignment horizontal="right" vertical="center"/>
    </xf>
    <xf numFmtId="0" fontId="13" fillId="0" borderId="0" xfId="0" applyFont="1"/>
    <xf numFmtId="0" fontId="5" fillId="0" borderId="0" xfId="0" applyFont="1" applyAlignment="1">
      <alignment horizontal="left"/>
    </xf>
    <xf numFmtId="167" fontId="6" fillId="6" borderId="0" xfId="0" applyNumberFormat="1" applyFont="1" applyFill="1" applyAlignment="1">
      <alignment horizontal="right"/>
    </xf>
    <xf numFmtId="0" fontId="8" fillId="0" borderId="0" xfId="0" applyFont="1" applyAlignment="1">
      <alignment horizontal="left"/>
    </xf>
    <xf numFmtId="167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4" fontId="10" fillId="5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0" applyFont="1"/>
    <xf numFmtId="0" fontId="11" fillId="0" borderId="0" xfId="0" applyFont="1"/>
    <xf numFmtId="0" fontId="16" fillId="7" borderId="3" xfId="0" applyFont="1" applyFill="1" applyBorder="1" applyAlignment="1">
      <alignment horizontal="left" vertical="center"/>
    </xf>
    <xf numFmtId="0" fontId="0" fillId="7" borderId="3" xfId="0" applyFill="1" applyBorder="1"/>
    <xf numFmtId="0" fontId="12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68" fontId="18" fillId="6" borderId="0" xfId="0" applyNumberFormat="1" applyFont="1" applyFill="1" applyAlignment="1">
      <alignment horizontal="right" vertical="center"/>
    </xf>
    <xf numFmtId="0" fontId="18" fillId="0" borderId="0" xfId="0" applyFont="1" applyAlignment="1">
      <alignment horizontal="left" vertical="center"/>
    </xf>
    <xf numFmtId="168" fontId="18" fillId="0" borderId="0" xfId="0" applyNumberFormat="1" applyFont="1" applyAlignment="1">
      <alignment horizontal="right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164" fontId="6" fillId="4" borderId="4" xfId="0" applyNumberFormat="1" applyFont="1" applyFill="1" applyBorder="1" applyAlignment="1">
      <alignment horizontal="left" vertical="center"/>
    </xf>
    <xf numFmtId="165" fontId="6" fillId="4" borderId="4" xfId="0" applyNumberFormat="1" applyFont="1" applyFill="1" applyBorder="1" applyAlignment="1">
      <alignment horizontal="left" vertical="center"/>
    </xf>
    <xf numFmtId="1" fontId="21" fillId="8" borderId="0" xfId="0" applyNumberFormat="1" applyFont="1" applyFill="1" applyAlignment="1">
      <alignment horizontal="center" vertical="center"/>
    </xf>
    <xf numFmtId="165" fontId="21" fillId="8" borderId="0" xfId="0" applyNumberFormat="1" applyFont="1" applyFill="1" applyAlignment="1">
      <alignment horizontal="right" vertical="center"/>
    </xf>
    <xf numFmtId="3" fontId="22" fillId="4" borderId="0" xfId="0" applyNumberFormat="1" applyFont="1" applyFill="1" applyAlignment="1">
      <alignment horizontal="right" vertical="center"/>
    </xf>
    <xf numFmtId="164" fontId="5" fillId="4" borderId="4" xfId="0" applyNumberFormat="1" applyFont="1" applyFill="1" applyBorder="1" applyAlignment="1">
      <alignment horizontal="left" vertical="center"/>
    </xf>
    <xf numFmtId="165" fontId="5" fillId="4" borderId="4" xfId="0" applyNumberFormat="1" applyFont="1" applyFill="1" applyBorder="1" applyAlignment="1">
      <alignment horizontal="left" vertical="center"/>
    </xf>
    <xf numFmtId="164" fontId="0" fillId="4" borderId="4" xfId="0" applyNumberFormat="1" applyFill="1" applyBorder="1"/>
    <xf numFmtId="0" fontId="0" fillId="4" borderId="4" xfId="0" applyFill="1" applyBorder="1"/>
    <xf numFmtId="1" fontId="22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9" fontId="5" fillId="0" borderId="0" xfId="0" applyNumberFormat="1" applyFont="1" applyAlignment="1">
      <alignment horizontal="right" vertical="center"/>
    </xf>
    <xf numFmtId="168" fontId="5" fillId="9" borderId="0" xfId="0" applyNumberFormat="1" applyFont="1" applyFill="1" applyAlignment="1">
      <alignment horizontal="right"/>
    </xf>
    <xf numFmtId="165" fontId="21" fillId="0" borderId="0" xfId="0" applyNumberFormat="1" applyFont="1" applyAlignment="1">
      <alignment horizontal="left" vertical="center"/>
    </xf>
    <xf numFmtId="170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69" fontId="5" fillId="8" borderId="0" xfId="0" applyNumberFormat="1" applyFont="1" applyFill="1" applyAlignment="1">
      <alignment horizontal="right" vertical="center"/>
    </xf>
    <xf numFmtId="1" fontId="5" fillId="8" borderId="0" xfId="0" applyNumberFormat="1" applyFont="1" applyFill="1" applyAlignment="1">
      <alignment horizontal="center" vertical="center"/>
    </xf>
    <xf numFmtId="165" fontId="21" fillId="8" borderId="0" xfId="0" applyNumberFormat="1" applyFont="1" applyFill="1" applyAlignment="1">
      <alignment horizontal="left" vertical="center"/>
    </xf>
    <xf numFmtId="170" fontId="5" fillId="8" borderId="0" xfId="0" applyNumberFormat="1" applyFont="1" applyFill="1" applyAlignment="1">
      <alignment horizontal="right" vertical="center"/>
    </xf>
    <xf numFmtId="166" fontId="5" fillId="8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left" vertical="center"/>
    </xf>
    <xf numFmtId="167" fontId="5" fillId="8" borderId="0" xfId="0" applyNumberFormat="1" applyFont="1" applyFill="1" applyAlignment="1">
      <alignment horizontal="right" vertical="center"/>
    </xf>
    <xf numFmtId="0" fontId="16" fillId="0" borderId="3" xfId="0" applyFont="1" applyBorder="1" applyAlignment="1">
      <alignment horizontal="left" vertical="center"/>
    </xf>
    <xf numFmtId="165" fontId="16" fillId="0" borderId="3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5" fontId="25" fillId="0" borderId="0" xfId="0" applyNumberFormat="1" applyFont="1" applyAlignment="1">
      <alignment horizontal="right" vertical="center"/>
    </xf>
    <xf numFmtId="170" fontId="16" fillId="0" borderId="0" xfId="0" applyNumberFormat="1" applyFont="1" applyAlignment="1">
      <alignment horizontal="right" vertical="center"/>
    </xf>
    <xf numFmtId="165" fontId="26" fillId="10" borderId="0" xfId="0" applyNumberFormat="1" applyFont="1" applyFill="1" applyAlignment="1">
      <alignment horizontal="right" vertical="center"/>
    </xf>
    <xf numFmtId="165" fontId="5" fillId="0" borderId="0" xfId="0" applyNumberFormat="1" applyFont="1"/>
    <xf numFmtId="170" fontId="12" fillId="7" borderId="2" xfId="0" applyNumberFormat="1" applyFont="1" applyFill="1" applyBorder="1" applyAlignment="1">
      <alignment horizontal="center" vertical="center" wrapText="1"/>
    </xf>
    <xf numFmtId="169" fontId="21" fillId="0" borderId="0" xfId="0" applyNumberFormat="1" applyFont="1" applyAlignment="1">
      <alignment horizontal="right" vertical="center"/>
    </xf>
    <xf numFmtId="1" fontId="21" fillId="0" borderId="0" xfId="0" applyNumberFormat="1" applyFont="1" applyAlignment="1">
      <alignment horizontal="center" vertical="center"/>
    </xf>
    <xf numFmtId="170" fontId="21" fillId="0" borderId="0" xfId="0" applyNumberFormat="1" applyFont="1" applyAlignment="1">
      <alignment horizontal="right" vertical="center"/>
    </xf>
    <xf numFmtId="166" fontId="21" fillId="0" borderId="0" xfId="0" applyNumberFormat="1" applyFont="1" applyAlignment="1">
      <alignment horizontal="right" vertical="center"/>
    </xf>
    <xf numFmtId="169" fontId="21" fillId="8" borderId="0" xfId="0" applyNumberFormat="1" applyFont="1" applyFill="1" applyAlignment="1">
      <alignment horizontal="right" vertical="center"/>
    </xf>
    <xf numFmtId="170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6" fillId="0" borderId="3" xfId="0" applyNumberFormat="1" applyFont="1" applyBorder="1" applyAlignment="1">
      <alignment horizontal="left" vertical="center"/>
    </xf>
    <xf numFmtId="170" fontId="16" fillId="0" borderId="3" xfId="0" applyNumberFormat="1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167" fontId="23" fillId="0" borderId="0" xfId="0" applyNumberFormat="1" applyFont="1" applyAlignment="1">
      <alignment horizontal="right" vertical="center"/>
    </xf>
    <xf numFmtId="170" fontId="23" fillId="0" borderId="0" xfId="0" applyNumberFormat="1" applyFont="1" applyAlignment="1">
      <alignment horizontal="right" vertical="center"/>
    </xf>
    <xf numFmtId="166" fontId="23" fillId="0" borderId="0" xfId="0" applyNumberFormat="1" applyFont="1" applyAlignment="1">
      <alignment horizontal="right" vertical="center"/>
    </xf>
    <xf numFmtId="170" fontId="27" fillId="0" borderId="0" xfId="0" applyNumberFormat="1" applyFont="1" applyAlignment="1">
      <alignment horizontal="right" vertical="center"/>
    </xf>
    <xf numFmtId="165" fontId="23" fillId="0" borderId="0" xfId="0" applyNumberFormat="1" applyFont="1" applyAlignment="1">
      <alignment horizontal="right" vertical="center"/>
    </xf>
    <xf numFmtId="0" fontId="16" fillId="10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65" fontId="18" fillId="4" borderId="1" xfId="0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9" fillId="6" borderId="0" xfId="0" applyFont="1" applyFill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0" fillId="0" borderId="0" xfId="0" applyFont="1"/>
    <xf numFmtId="170" fontId="5" fillId="0" borderId="0" xfId="0" applyNumberFormat="1" applyFont="1"/>
    <xf numFmtId="0" fontId="31" fillId="3" borderId="0" xfId="0" applyFont="1" applyFill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3" fontId="9" fillId="0" borderId="0" xfId="0" applyNumberFormat="1" applyFont="1"/>
    <xf numFmtId="3" fontId="22" fillId="0" borderId="0" xfId="0" applyNumberFormat="1" applyFont="1"/>
    <xf numFmtId="0" fontId="9" fillId="0" borderId="0" xfId="0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20" fillId="0" borderId="0" xfId="0" applyFont="1"/>
    <xf numFmtId="3" fontId="20" fillId="0" borderId="0" xfId="0" applyNumberFormat="1" applyFont="1"/>
    <xf numFmtId="3" fontId="32" fillId="0" borderId="0" xfId="0" applyNumberFormat="1" applyFont="1"/>
    <xf numFmtId="0" fontId="20" fillId="0" borderId="0" xfId="0" applyFont="1" applyAlignment="1">
      <alignment horizontal="right" vertical="center"/>
    </xf>
    <xf numFmtId="0" fontId="33" fillId="2" borderId="0" xfId="0" applyFont="1" applyFill="1"/>
    <xf numFmtId="0" fontId="34" fillId="0" borderId="0" xfId="0" applyFont="1"/>
    <xf numFmtId="0" fontId="0" fillId="13" borderId="0" xfId="0" applyFill="1"/>
    <xf numFmtId="0" fontId="36" fillId="0" borderId="0" xfId="0" applyFont="1"/>
    <xf numFmtId="0" fontId="0" fillId="14" borderId="0" xfId="0" applyFill="1"/>
    <xf numFmtId="2" fontId="0" fillId="14" borderId="0" xfId="0" applyNumberFormat="1" applyFill="1"/>
    <xf numFmtId="171" fontId="0" fillId="13" borderId="0" xfId="0" applyNumberFormat="1" applyFill="1"/>
    <xf numFmtId="0" fontId="37" fillId="0" borderId="0" xfId="0" applyFont="1"/>
    <xf numFmtId="171" fontId="34" fillId="8" borderId="0" xfId="0" applyNumberFormat="1" applyFont="1" applyFill="1"/>
    <xf numFmtId="171" fontId="36" fillId="0" borderId="0" xfId="0" applyNumberFormat="1" applyFont="1"/>
    <xf numFmtId="0" fontId="39" fillId="16" borderId="5" xfId="0" applyFont="1" applyFill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1" fontId="34" fillId="0" borderId="5" xfId="0" applyNumberFormat="1" applyFont="1" applyBorder="1" applyAlignment="1">
      <alignment horizontal="center" vertical="center"/>
    </xf>
    <xf numFmtId="173" fontId="0" fillId="0" borderId="5" xfId="0" applyNumberFormat="1" applyBorder="1" applyAlignment="1">
      <alignment horizontal="center" vertical="center"/>
    </xf>
    <xf numFmtId="171" fontId="34" fillId="17" borderId="5" xfId="0" applyNumberFormat="1" applyFont="1" applyFill="1" applyBorder="1" applyAlignment="1">
      <alignment horizontal="center" vertical="center"/>
    </xf>
    <xf numFmtId="172" fontId="34" fillId="17" borderId="5" xfId="0" applyNumberFormat="1" applyFont="1" applyFill="1" applyBorder="1" applyAlignment="1">
      <alignment horizontal="center" vertical="center"/>
    </xf>
    <xf numFmtId="173" fontId="34" fillId="17" borderId="5" xfId="0" applyNumberFormat="1" applyFont="1" applyFill="1" applyBorder="1" applyAlignment="1">
      <alignment horizontal="center" vertical="center"/>
    </xf>
    <xf numFmtId="0" fontId="39" fillId="16" borderId="5" xfId="0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171" fontId="0" fillId="0" borderId="5" xfId="0" applyNumberFormat="1" applyBorder="1" applyAlignment="1">
      <alignment horizontal="center"/>
    </xf>
    <xf numFmtId="172" fontId="0" fillId="0" borderId="5" xfId="0" applyNumberFormat="1" applyBorder="1" applyAlignment="1">
      <alignment horizontal="center"/>
    </xf>
    <xf numFmtId="172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71" fontId="0" fillId="0" borderId="0" xfId="0" applyNumberFormat="1" applyAlignment="1">
      <alignment horizontal="center"/>
    </xf>
    <xf numFmtId="0" fontId="40" fillId="0" borderId="5" xfId="0" applyFont="1" applyBorder="1" applyAlignment="1">
      <alignment horizontal="center"/>
    </xf>
    <xf numFmtId="171" fontId="40" fillId="0" borderId="5" xfId="0" applyNumberFormat="1" applyFont="1" applyBorder="1" applyAlignment="1">
      <alignment horizontal="center"/>
    </xf>
    <xf numFmtId="171" fontId="40" fillId="0" borderId="0" xfId="0" applyNumberFormat="1" applyFont="1" applyAlignment="1">
      <alignment horizontal="center"/>
    </xf>
    <xf numFmtId="2" fontId="0" fillId="0" borderId="5" xfId="0" applyNumberFormat="1" applyBorder="1" applyAlignment="1">
      <alignment horizontal="center"/>
    </xf>
    <xf numFmtId="0" fontId="42" fillId="9" borderId="0" xfId="0" applyFont="1" applyFill="1"/>
    <xf numFmtId="168" fontId="5" fillId="0" borderId="0" xfId="0" applyNumberFormat="1" applyFont="1" applyAlignment="1">
      <alignment horizontal="center" vertical="center"/>
    </xf>
    <xf numFmtId="168" fontId="5" fillId="8" borderId="0" xfId="0" applyNumberFormat="1" applyFont="1" applyFill="1" applyAlignment="1">
      <alignment horizontal="center" vertical="center"/>
    </xf>
    <xf numFmtId="170" fontId="22" fillId="6" borderId="0" xfId="0" applyNumberFormat="1" applyFont="1" applyFill="1" applyAlignment="1">
      <alignment horizontal="right" vertical="center"/>
    </xf>
    <xf numFmtId="170" fontId="6" fillId="6" borderId="0" xfId="0" applyNumberFormat="1" applyFont="1" applyFill="1" applyAlignment="1">
      <alignment horizontal="right" vertical="center"/>
    </xf>
    <xf numFmtId="170" fontId="16" fillId="10" borderId="0" xfId="0" applyNumberFormat="1" applyFont="1" applyFill="1" applyAlignment="1">
      <alignment horizontal="right" vertical="center"/>
    </xf>
    <xf numFmtId="0" fontId="43" fillId="0" borderId="0" xfId="0" applyFont="1" applyAlignment="1">
      <alignment horizontal="left" vertical="center"/>
    </xf>
    <xf numFmtId="0" fontId="41" fillId="0" borderId="0" xfId="0" applyFont="1"/>
    <xf numFmtId="0" fontId="0" fillId="0" borderId="0" xfId="0"/>
    <xf numFmtId="0" fontId="40" fillId="3" borderId="0" xfId="0" applyFont="1" applyFill="1"/>
    <xf numFmtId="0" fontId="40" fillId="0" borderId="0" xfId="0" applyFont="1"/>
    <xf numFmtId="0" fontId="38" fillId="15" borderId="0" xfId="0" applyFont="1" applyFill="1" applyAlignment="1">
      <alignment horizontal="left" vertical="center" wrapText="1" indent="1"/>
    </xf>
    <xf numFmtId="0" fontId="35" fillId="11" borderId="0" xfId="0" applyFont="1" applyFill="1" applyAlignment="1">
      <alignment horizontal="left" vertical="center" indent="1"/>
    </xf>
    <xf numFmtId="0" fontId="36" fillId="0" borderId="0" xfId="0" applyFont="1"/>
    <xf numFmtId="0" fontId="33" fillId="12" borderId="0" xfId="0" applyFont="1" applyFill="1"/>
    <xf numFmtId="0" fontId="8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16" fillId="10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44" fillId="18" borderId="0" xfId="1" applyFont="1" applyFill="1" applyAlignment="1">
      <alignment vertical="center"/>
    </xf>
    <xf numFmtId="0" fontId="45" fillId="18" borderId="0" xfId="1" applyFont="1" applyFill="1" applyAlignment="1">
      <alignment horizontal="center" vertical="center"/>
    </xf>
    <xf numFmtId="174" fontId="45" fillId="18" borderId="0" xfId="1" applyNumberFormat="1" applyFont="1" applyFill="1" applyAlignment="1">
      <alignment horizontal="center" vertical="center"/>
    </xf>
    <xf numFmtId="3" fontId="46" fillId="18" borderId="0" xfId="1" applyNumberFormat="1" applyFont="1" applyFill="1" applyAlignment="1">
      <alignment horizontal="center" vertical="center"/>
    </xf>
    <xf numFmtId="0" fontId="45" fillId="18" borderId="0" xfId="1" applyFont="1" applyFill="1" applyAlignment="1">
      <alignment vertical="center"/>
    </xf>
    <xf numFmtId="0" fontId="44" fillId="18" borderId="6" xfId="1" applyFont="1" applyFill="1" applyBorder="1" applyAlignment="1">
      <alignment vertical="center"/>
    </xf>
    <xf numFmtId="0" fontId="1" fillId="0" borderId="6" xfId="1" applyBorder="1" applyAlignment="1">
      <alignment vertical="center"/>
    </xf>
    <xf numFmtId="49" fontId="48" fillId="19" borderId="7" xfId="2" applyNumberFormat="1" applyFont="1" applyFill="1" applyBorder="1" applyAlignment="1" applyProtection="1">
      <alignment horizontal="center" vertical="center" wrapText="1"/>
      <protection locked="0"/>
    </xf>
    <xf numFmtId="174" fontId="48" fillId="19" borderId="7" xfId="2" applyNumberFormat="1" applyFont="1" applyFill="1" applyBorder="1" applyAlignment="1" applyProtection="1">
      <alignment horizontal="center" vertical="center" wrapText="1"/>
      <protection locked="0"/>
    </xf>
    <xf numFmtId="3" fontId="48" fillId="19" borderId="7" xfId="2" applyNumberFormat="1" applyFont="1" applyFill="1" applyBorder="1" applyAlignment="1" applyProtection="1">
      <alignment horizontal="center" vertical="center" wrapText="1"/>
      <protection locked="0"/>
    </xf>
    <xf numFmtId="0" fontId="49" fillId="18" borderId="0" xfId="1" applyFont="1" applyFill="1" applyAlignment="1">
      <alignment vertical="center"/>
    </xf>
    <xf numFmtId="0" fontId="50" fillId="18" borderId="7" xfId="3" applyFont="1" applyFill="1" applyBorder="1" applyAlignment="1">
      <alignment horizontal="center" vertical="center"/>
    </xf>
    <xf numFmtId="0" fontId="50" fillId="20" borderId="7" xfId="3" applyFont="1" applyFill="1" applyBorder="1" applyAlignment="1" applyProtection="1">
      <alignment horizontal="center" vertical="center"/>
      <protection locked="0"/>
    </xf>
    <xf numFmtId="0" fontId="50" fillId="18" borderId="7" xfId="3" applyFont="1" applyFill="1" applyBorder="1" applyAlignment="1" applyProtection="1">
      <alignment horizontal="center" vertical="center"/>
      <protection locked="0"/>
    </xf>
    <xf numFmtId="174" fontId="50" fillId="20" borderId="7" xfId="4" applyNumberFormat="1" applyFont="1" applyFill="1" applyBorder="1" applyAlignment="1" applyProtection="1">
      <alignment horizontal="center" vertical="center"/>
      <protection locked="0"/>
    </xf>
    <xf numFmtId="174" fontId="50" fillId="18" borderId="7" xfId="4" applyNumberFormat="1" applyFont="1" applyFill="1" applyBorder="1" applyAlignment="1" applyProtection="1">
      <alignment horizontal="center" vertical="center"/>
      <protection locked="0"/>
    </xf>
    <xf numFmtId="174" fontId="50" fillId="0" borderId="7" xfId="4" applyNumberFormat="1" applyFont="1" applyFill="1" applyBorder="1" applyAlignment="1" applyProtection="1">
      <alignment horizontal="center" vertical="center"/>
      <protection locked="0"/>
    </xf>
    <xf numFmtId="175" fontId="50" fillId="20" borderId="7" xfId="4" applyNumberFormat="1" applyFont="1" applyFill="1" applyBorder="1" applyAlignment="1" applyProtection="1">
      <alignment horizontal="center" vertical="center"/>
      <protection locked="0"/>
    </xf>
    <xf numFmtId="1" fontId="50" fillId="20" borderId="7" xfId="3" applyNumberFormat="1" applyFont="1" applyFill="1" applyBorder="1" applyAlignment="1" applyProtection="1">
      <alignment horizontal="center" vertical="center"/>
      <protection locked="0"/>
    </xf>
    <xf numFmtId="3" fontId="50" fillId="20" borderId="7" xfId="3" applyNumberFormat="1" applyFont="1" applyFill="1" applyBorder="1" applyAlignment="1" applyProtection="1">
      <alignment horizontal="center" vertical="center"/>
      <protection locked="0"/>
    </xf>
    <xf numFmtId="3" fontId="51" fillId="20" borderId="7" xfId="2" applyNumberFormat="1" applyFont="1" applyFill="1" applyBorder="1" applyAlignment="1" applyProtection="1">
      <alignment horizontal="center" vertical="center" wrapText="1"/>
      <protection locked="0"/>
    </xf>
    <xf numFmtId="175" fontId="52" fillId="0" borderId="7" xfId="5" applyNumberFormat="1" applyFont="1" applyFill="1" applyBorder="1" applyAlignment="1" applyProtection="1">
      <alignment horizontal="center" vertical="center"/>
      <protection locked="0"/>
    </xf>
    <xf numFmtId="176" fontId="52" fillId="0" borderId="7" xfId="5" applyNumberFormat="1" applyFont="1" applyFill="1" applyBorder="1" applyAlignment="1" applyProtection="1">
      <alignment horizontal="center" vertical="center"/>
      <protection locked="0"/>
    </xf>
    <xf numFmtId="0" fontId="49" fillId="18" borderId="7" xfId="1" applyFont="1" applyFill="1" applyBorder="1" applyAlignment="1">
      <alignment horizontal="center" vertical="center"/>
    </xf>
    <xf numFmtId="0" fontId="53" fillId="18" borderId="7" xfId="1" applyFont="1" applyFill="1" applyBorder="1" applyAlignment="1">
      <alignment horizontal="center" vertical="center"/>
    </xf>
    <xf numFmtId="0" fontId="53" fillId="18" borderId="0" xfId="1" applyFont="1" applyFill="1" applyAlignment="1">
      <alignment vertical="center"/>
    </xf>
    <xf numFmtId="0" fontId="50" fillId="0" borderId="7" xfId="3" applyFont="1" applyBorder="1" applyAlignment="1">
      <alignment horizontal="center" vertical="center"/>
    </xf>
    <xf numFmtId="0" fontId="50" fillId="0" borderId="7" xfId="3" applyFont="1" applyBorder="1" applyAlignment="1" applyProtection="1">
      <alignment horizontal="center" vertical="center"/>
      <protection locked="0"/>
    </xf>
    <xf numFmtId="2" fontId="50" fillId="0" borderId="7" xfId="3" applyNumberFormat="1" applyFont="1" applyBorder="1" applyAlignment="1" applyProtection="1">
      <alignment horizontal="center" vertical="center"/>
      <protection locked="0"/>
    </xf>
    <xf numFmtId="175" fontId="50" fillId="0" borderId="7" xfId="4" applyNumberFormat="1" applyFont="1" applyFill="1" applyBorder="1" applyAlignment="1" applyProtection="1">
      <alignment horizontal="center" vertical="center"/>
      <protection locked="0"/>
    </xf>
    <xf numFmtId="1" fontId="50" fillId="0" borderId="7" xfId="3" applyNumberFormat="1" applyFont="1" applyBorder="1" applyAlignment="1" applyProtection="1">
      <alignment horizontal="center" vertical="center"/>
      <protection locked="0"/>
    </xf>
    <xf numFmtId="3" fontId="50" fillId="0" borderId="7" xfId="3" applyNumberFormat="1" applyFont="1" applyBorder="1" applyAlignment="1" applyProtection="1">
      <alignment horizontal="center" vertical="center"/>
      <protection locked="0"/>
    </xf>
    <xf numFmtId="0" fontId="45" fillId="0" borderId="7" xfId="1" applyFont="1" applyBorder="1" applyAlignment="1">
      <alignment horizontal="center" vertical="center"/>
    </xf>
    <xf numFmtId="0" fontId="53" fillId="0" borderId="7" xfId="1" applyFont="1" applyBorder="1" applyAlignment="1">
      <alignment horizontal="center" vertical="center"/>
    </xf>
    <xf numFmtId="0" fontId="53" fillId="0" borderId="0" xfId="1" applyFont="1" applyAlignment="1">
      <alignment vertical="center"/>
    </xf>
    <xf numFmtId="0" fontId="54" fillId="21" borderId="7" xfId="3" applyFont="1" applyFill="1" applyBorder="1" applyAlignment="1">
      <alignment horizontal="right" vertical="center"/>
    </xf>
    <xf numFmtId="174" fontId="55" fillId="0" borderId="7" xfId="3" applyNumberFormat="1" applyFont="1" applyBorder="1" applyAlignment="1" applyProtection="1">
      <alignment horizontal="center" vertical="center"/>
      <protection locked="0"/>
    </xf>
    <xf numFmtId="175" fontId="56" fillId="0" borderId="7" xfId="3" applyNumberFormat="1" applyFont="1" applyBorder="1" applyAlignment="1" applyProtection="1">
      <alignment horizontal="center" vertical="center"/>
      <protection locked="0"/>
    </xf>
    <xf numFmtId="17" fontId="55" fillId="0" borderId="7" xfId="3" applyNumberFormat="1" applyFont="1" applyBorder="1" applyAlignment="1" applyProtection="1">
      <alignment horizontal="center" vertical="center"/>
      <protection locked="0"/>
    </xf>
    <xf numFmtId="3" fontId="57" fillId="0" borderId="7" xfId="3" applyNumberFormat="1" applyFont="1" applyBorder="1" applyAlignment="1" applyProtection="1">
      <alignment horizontal="center" vertical="center"/>
      <protection locked="0"/>
    </xf>
    <xf numFmtId="0" fontId="51" fillId="0" borderId="7" xfId="6" applyFont="1" applyBorder="1" applyAlignment="1">
      <alignment horizontal="center" vertical="center"/>
    </xf>
    <xf numFmtId="0" fontId="53" fillId="18" borderId="0" xfId="1" applyFont="1" applyFill="1" applyAlignment="1">
      <alignment horizontal="center" vertical="center"/>
    </xf>
    <xf numFmtId="174" fontId="53" fillId="18" borderId="0" xfId="1" applyNumberFormat="1" applyFont="1" applyFill="1" applyAlignment="1">
      <alignment horizontal="center" vertical="center"/>
    </xf>
    <xf numFmtId="174" fontId="53" fillId="18" borderId="0" xfId="7" applyNumberFormat="1" applyFont="1" applyFill="1" applyAlignment="1">
      <alignment horizontal="center" vertical="center"/>
    </xf>
    <xf numFmtId="3" fontId="57" fillId="18" borderId="0" xfId="1" applyNumberFormat="1" applyFont="1" applyFill="1" applyAlignment="1">
      <alignment horizontal="center" vertical="center"/>
    </xf>
    <xf numFmtId="3" fontId="0" fillId="0" borderId="0" xfId="0" applyNumberFormat="1"/>
  </cellXfs>
  <cellStyles count="8">
    <cellStyle name="Currency 2" xfId="4" xr:uid="{5931A042-ED0A-46F8-98D3-99399CDE3602}"/>
    <cellStyle name="Currency 6" xfId="5" xr:uid="{6A1C6BBC-6C15-4829-8869-37314880A81B}"/>
    <cellStyle name="Excel Built-in Normal" xfId="3" xr:uid="{00277DBA-1F87-4E31-9F9A-93BEA3E18798}"/>
    <cellStyle name="Normal" xfId="0" builtinId="0"/>
    <cellStyle name="Normal 2" xfId="1" xr:uid="{4478C5A1-5086-49B3-90E7-96EA29F108EA}"/>
    <cellStyle name="Normal 49" xfId="6" xr:uid="{49346E74-237D-49B3-AD3E-40DDBCC0411C}"/>
    <cellStyle name="Normal 8" xfId="2" xr:uid="{23D3B23D-CB8A-4BCC-BC93-52723995CAE3}"/>
    <cellStyle name="Percent 2" xfId="7" xr:uid="{B5AAF32B-C896-45D9-9A21-1D10CA50F651}"/>
  </cellStyles>
  <dxfs count="5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600"/>
      </font>
      <fill>
        <patternFill>
          <bgColor rgb="FFCCFFCC"/>
        </patternFill>
      </fill>
    </dxf>
    <dxf>
      <font>
        <b/>
        <color rgb="FFCC0000"/>
      </font>
      <fill>
        <patternFill>
          <bgColor rgb="FFFFCC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D9E1F2"/>
      <rgbColor rgb="FF808080"/>
      <rgbColor rgb="FFF2F2F2"/>
      <rgbColor rgb="FF993366"/>
      <rgbColor rgb="FFFFF2CC"/>
      <rgbColor rgb="FFDDEBF7"/>
      <rgbColor rgb="FF660066"/>
      <rgbColor rgb="FFFF8080"/>
      <rgbColor rgb="FF1F4E79"/>
      <rgbColor rgb="FFBDD7EE"/>
      <rgbColor rgb="FF000080"/>
      <rgbColor rgb="FFFF00FF"/>
      <rgbColor rgb="FFE2EFDA"/>
      <rgbColor rgb="FF00FFFF"/>
      <rgbColor rgb="FF800080"/>
      <rgbColor rgb="FFC00000"/>
      <rgbColor rgb="FF008080"/>
      <rgbColor rgb="FF0000FF"/>
      <rgbColor rgb="FF00CCFF"/>
      <rgbColor rgb="FFEBF3FB"/>
      <rgbColor rgb="FFCCFFCC"/>
      <rgbColor rgb="FFFFE699"/>
      <rgbColor rgb="FFC6EFCE"/>
      <rgbColor rgb="FFFFC7CE"/>
      <rgbColor rgb="FFDCE6F1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600"/>
      <rgbColor rgb="FF333300"/>
      <rgbColor rgb="FFCC00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BDE7-0033-4AD6-BB88-6627EC045802}">
  <sheetPr>
    <pageSetUpPr fitToPage="1"/>
  </sheetPr>
  <dimension ref="A1:Z467"/>
  <sheetViews>
    <sheetView zoomScale="90" zoomScaleNormal="90" workbookViewId="0">
      <pane xSplit="2" ySplit="3" topLeftCell="C4" activePane="bottomRight" state="frozen"/>
      <selection pane="topRight" activeCell="E1" sqref="E1"/>
      <selection pane="bottomLeft" activeCell="A7" sqref="A7"/>
      <selection pane="bottomRight" activeCell="C22" sqref="C22"/>
    </sheetView>
  </sheetViews>
  <sheetFormatPr defaultColWidth="10.26953125" defaultRowHeight="14.5"/>
  <cols>
    <col min="1" max="1" width="8" style="171" customWidth="1"/>
    <col min="2" max="2" width="15.1796875" style="168" customWidth="1"/>
    <col min="3" max="3" width="35.26953125" style="168" customWidth="1"/>
    <col min="4" max="4" width="18" style="168" customWidth="1"/>
    <col min="5" max="5" width="7.81640625" style="168" customWidth="1"/>
    <col min="6" max="7" width="13.81640625" style="168" customWidth="1"/>
    <col min="8" max="8" width="13.1796875" style="168" customWidth="1"/>
    <col min="9" max="9" width="13.81640625" style="169" customWidth="1"/>
    <col min="10" max="10" width="13.1796875" style="169" customWidth="1"/>
    <col min="11" max="11" width="12.7265625" style="169" customWidth="1"/>
    <col min="12" max="12" width="14.81640625" style="169" customWidth="1"/>
    <col min="13" max="13" width="13.54296875" style="169" customWidth="1"/>
    <col min="14" max="14" width="14.7265625" style="169" customWidth="1"/>
    <col min="15" max="15" width="10" style="168" customWidth="1"/>
    <col min="16" max="16" width="9.1796875" style="168" customWidth="1"/>
    <col min="17" max="18" width="10.7265625" style="168" customWidth="1"/>
    <col min="19" max="19" width="10.7265625" style="170" customWidth="1"/>
    <col min="20" max="20" width="11" style="168" customWidth="1"/>
    <col min="21" max="21" width="12.54296875" style="168" customWidth="1"/>
    <col min="22" max="22" width="11.1796875" style="168" customWidth="1"/>
    <col min="23" max="23" width="9.1796875" style="168" customWidth="1"/>
    <col min="24" max="24" width="11.54296875" style="168" customWidth="1"/>
    <col min="25" max="25" width="16.1796875" style="168" customWidth="1"/>
    <col min="26" max="26" width="32.7265625" style="168" customWidth="1"/>
    <col min="27" max="16384" width="10.26953125" style="171"/>
  </cols>
  <sheetData>
    <row r="1" spans="1:26" ht="21.75" customHeight="1">
      <c r="A1" s="167" t="s">
        <v>217</v>
      </c>
    </row>
    <row r="2" spans="1:26" ht="21.75" customHeight="1">
      <c r="A2" s="172" t="s">
        <v>218</v>
      </c>
      <c r="B2" s="173"/>
      <c r="C2" s="173"/>
    </row>
    <row r="3" spans="1:26" s="177" customFormat="1" ht="44.25" customHeight="1">
      <c r="A3" s="174" t="s">
        <v>219</v>
      </c>
      <c r="B3" s="174" t="s">
        <v>220</v>
      </c>
      <c r="C3" s="174" t="s">
        <v>221</v>
      </c>
      <c r="D3" s="174" t="s">
        <v>222</v>
      </c>
      <c r="E3" s="174" t="s">
        <v>223</v>
      </c>
      <c r="F3" s="174" t="s">
        <v>224</v>
      </c>
      <c r="G3" s="174" t="s">
        <v>225</v>
      </c>
      <c r="H3" s="174" t="s">
        <v>226</v>
      </c>
      <c r="I3" s="175" t="s">
        <v>227</v>
      </c>
      <c r="J3" s="175" t="s">
        <v>228</v>
      </c>
      <c r="K3" s="175" t="s">
        <v>229</v>
      </c>
      <c r="L3" s="175" t="s">
        <v>230</v>
      </c>
      <c r="M3" s="175" t="s">
        <v>231</v>
      </c>
      <c r="N3" s="175" t="s">
        <v>232</v>
      </c>
      <c r="O3" s="174" t="s">
        <v>233</v>
      </c>
      <c r="P3" s="174" t="s">
        <v>234</v>
      </c>
      <c r="Q3" s="174" t="s">
        <v>235</v>
      </c>
      <c r="R3" s="174" t="s">
        <v>236</v>
      </c>
      <c r="S3" s="176" t="s">
        <v>237</v>
      </c>
      <c r="T3" s="174" t="s">
        <v>238</v>
      </c>
      <c r="U3" s="174" t="s">
        <v>239</v>
      </c>
      <c r="V3" s="174" t="s">
        <v>240</v>
      </c>
      <c r="W3" s="174" t="s">
        <v>241</v>
      </c>
      <c r="X3" s="174" t="s">
        <v>242</v>
      </c>
      <c r="Y3" s="174" t="s">
        <v>243</v>
      </c>
      <c r="Z3" s="174" t="s">
        <v>244</v>
      </c>
    </row>
    <row r="4" spans="1:26" s="177" customFormat="1" ht="21" customHeight="1">
      <c r="A4" s="178">
        <v>1</v>
      </c>
      <c r="B4" s="179">
        <v>29576</v>
      </c>
      <c r="C4" s="180" t="s">
        <v>245</v>
      </c>
      <c r="D4" s="180" t="s">
        <v>246</v>
      </c>
      <c r="E4" s="180" t="s">
        <v>247</v>
      </c>
      <c r="F4" s="179">
        <v>33713</v>
      </c>
      <c r="G4" s="179" t="s">
        <v>248</v>
      </c>
      <c r="H4" s="180" t="s">
        <v>249</v>
      </c>
      <c r="I4" s="181">
        <v>850000</v>
      </c>
      <c r="J4" s="181">
        <v>400000</v>
      </c>
      <c r="K4" s="181">
        <v>40000</v>
      </c>
      <c r="L4" s="182">
        <v>744931</v>
      </c>
      <c r="M4" s="181">
        <f>SUM(I4:L4)</f>
        <v>2034931</v>
      </c>
      <c r="N4" s="183">
        <v>2102629</v>
      </c>
      <c r="O4" s="184" t="s">
        <v>250</v>
      </c>
      <c r="P4" s="185">
        <v>1996</v>
      </c>
      <c r="Q4" s="186">
        <v>2780</v>
      </c>
      <c r="R4" s="186" t="s">
        <v>251</v>
      </c>
      <c r="S4" s="187">
        <v>1</v>
      </c>
      <c r="T4" s="188" t="s">
        <v>252</v>
      </c>
      <c r="U4" s="188" t="s">
        <v>250</v>
      </c>
      <c r="V4" s="188" t="s">
        <v>253</v>
      </c>
      <c r="W4" s="189">
        <v>2</v>
      </c>
      <c r="X4" s="189" t="s">
        <v>254</v>
      </c>
      <c r="Y4" s="188" t="s">
        <v>255</v>
      </c>
      <c r="Z4" s="190"/>
    </row>
    <row r="5" spans="1:26" s="177" customFormat="1" ht="21" customHeight="1">
      <c r="A5" s="178">
        <v>2</v>
      </c>
      <c r="B5" s="179">
        <v>29577</v>
      </c>
      <c r="C5" s="180" t="s">
        <v>256</v>
      </c>
      <c r="D5" s="180" t="s">
        <v>257</v>
      </c>
      <c r="E5" s="180" t="s">
        <v>247</v>
      </c>
      <c r="F5" s="179" t="s">
        <v>258</v>
      </c>
      <c r="G5" s="179" t="s">
        <v>259</v>
      </c>
      <c r="H5" s="180" t="s">
        <v>249</v>
      </c>
      <c r="I5" s="181">
        <v>850000</v>
      </c>
      <c r="J5" s="181">
        <v>400000</v>
      </c>
      <c r="K5" s="181">
        <v>40000</v>
      </c>
      <c r="L5" s="182">
        <v>582831</v>
      </c>
      <c r="M5" s="181">
        <f t="shared" ref="M5:M30" si="0">SUM(I5:L5)</f>
        <v>1872831</v>
      </c>
      <c r="N5" s="183">
        <v>1645087</v>
      </c>
      <c r="O5" s="184" t="s">
        <v>250</v>
      </c>
      <c r="P5" s="185">
        <v>1996</v>
      </c>
      <c r="Q5" s="186">
        <v>2182</v>
      </c>
      <c r="R5" s="186" t="s">
        <v>251</v>
      </c>
      <c r="S5" s="187">
        <v>1</v>
      </c>
      <c r="T5" s="188" t="s">
        <v>252</v>
      </c>
      <c r="U5" s="188" t="s">
        <v>250</v>
      </c>
      <c r="V5" s="188" t="s">
        <v>253</v>
      </c>
      <c r="W5" s="189">
        <v>3</v>
      </c>
      <c r="X5" s="189" t="s">
        <v>260</v>
      </c>
      <c r="Y5" s="188" t="s">
        <v>261</v>
      </c>
      <c r="Z5" s="190"/>
    </row>
    <row r="6" spans="1:26" s="177" customFormat="1" ht="21" customHeight="1">
      <c r="A6" s="178">
        <v>3</v>
      </c>
      <c r="B6" s="179">
        <v>29578</v>
      </c>
      <c r="C6" s="180" t="s">
        <v>262</v>
      </c>
      <c r="D6" s="180" t="s">
        <v>257</v>
      </c>
      <c r="E6" s="180" t="s">
        <v>247</v>
      </c>
      <c r="F6" s="179" t="s">
        <v>263</v>
      </c>
      <c r="G6" s="179" t="s">
        <v>259</v>
      </c>
      <c r="H6" s="180" t="s">
        <v>249</v>
      </c>
      <c r="I6" s="181">
        <v>850000</v>
      </c>
      <c r="J6" s="181">
        <v>400000</v>
      </c>
      <c r="K6" s="181">
        <v>40000</v>
      </c>
      <c r="L6" s="182">
        <v>736943</v>
      </c>
      <c r="M6" s="181">
        <f t="shared" si="0"/>
        <v>2026943</v>
      </c>
      <c r="N6" s="183">
        <v>2080081</v>
      </c>
      <c r="O6" s="184" t="s">
        <v>250</v>
      </c>
      <c r="P6" s="185">
        <v>1996</v>
      </c>
      <c r="Q6" s="186">
        <v>2599</v>
      </c>
      <c r="R6" s="186" t="s">
        <v>264</v>
      </c>
      <c r="S6" s="187">
        <v>1</v>
      </c>
      <c r="T6" s="188" t="s">
        <v>252</v>
      </c>
      <c r="U6" s="188" t="s">
        <v>250</v>
      </c>
      <c r="V6" s="188" t="s">
        <v>253</v>
      </c>
      <c r="W6" s="189">
        <v>1</v>
      </c>
      <c r="X6" s="189" t="s">
        <v>265</v>
      </c>
      <c r="Y6" s="188" t="s">
        <v>266</v>
      </c>
      <c r="Z6" s="190"/>
    </row>
    <row r="7" spans="1:26" s="177" customFormat="1" ht="21" customHeight="1">
      <c r="A7" s="178">
        <v>4</v>
      </c>
      <c r="B7" s="179">
        <v>29579</v>
      </c>
      <c r="C7" s="180" t="s">
        <v>267</v>
      </c>
      <c r="D7" s="180" t="s">
        <v>246</v>
      </c>
      <c r="E7" s="180" t="s">
        <v>247</v>
      </c>
      <c r="F7" s="179" t="s">
        <v>268</v>
      </c>
      <c r="G7" s="179" t="s">
        <v>248</v>
      </c>
      <c r="H7" s="180" t="s">
        <v>249</v>
      </c>
      <c r="I7" s="181">
        <v>850000</v>
      </c>
      <c r="J7" s="181">
        <v>400000</v>
      </c>
      <c r="K7" s="181">
        <v>40000</v>
      </c>
      <c r="L7" s="182">
        <v>593437</v>
      </c>
      <c r="M7" s="181">
        <f t="shared" si="0"/>
        <v>1883437</v>
      </c>
      <c r="N7" s="183">
        <v>1675024</v>
      </c>
      <c r="O7" s="184" t="s">
        <v>250</v>
      </c>
      <c r="P7" s="185">
        <v>1996</v>
      </c>
      <c r="Q7" s="186">
        <v>2304</v>
      </c>
      <c r="R7" s="186" t="s">
        <v>251</v>
      </c>
      <c r="S7" s="187">
        <v>1</v>
      </c>
      <c r="T7" s="188" t="s">
        <v>252</v>
      </c>
      <c r="U7" s="188" t="s">
        <v>250</v>
      </c>
      <c r="V7" s="188" t="s">
        <v>253</v>
      </c>
      <c r="W7" s="189">
        <v>2</v>
      </c>
      <c r="X7" s="189" t="s">
        <v>269</v>
      </c>
      <c r="Y7" s="188" t="s">
        <v>270</v>
      </c>
      <c r="Z7" s="190"/>
    </row>
    <row r="8" spans="1:26" s="177" customFormat="1" ht="21" customHeight="1">
      <c r="A8" s="178">
        <v>5</v>
      </c>
      <c r="B8" s="179">
        <v>29580</v>
      </c>
      <c r="C8" s="180" t="s">
        <v>271</v>
      </c>
      <c r="D8" s="180" t="s">
        <v>272</v>
      </c>
      <c r="E8" s="180" t="s">
        <v>247</v>
      </c>
      <c r="F8" s="179" t="s">
        <v>273</v>
      </c>
      <c r="G8" s="179" t="s">
        <v>259</v>
      </c>
      <c r="H8" s="180" t="s">
        <v>249</v>
      </c>
      <c r="I8" s="181">
        <v>850000</v>
      </c>
      <c r="J8" s="181">
        <v>400000</v>
      </c>
      <c r="K8" s="181">
        <v>40000</v>
      </c>
      <c r="L8" s="182">
        <v>387177</v>
      </c>
      <c r="M8" s="181">
        <f t="shared" si="0"/>
        <v>1677177</v>
      </c>
      <c r="N8" s="183">
        <v>1092838</v>
      </c>
      <c r="O8" s="184" t="s">
        <v>250</v>
      </c>
      <c r="P8" s="185">
        <v>1996</v>
      </c>
      <c r="Q8" s="186">
        <v>1944</v>
      </c>
      <c r="R8" s="186" t="s">
        <v>264</v>
      </c>
      <c r="S8" s="187">
        <v>1</v>
      </c>
      <c r="T8" s="188" t="s">
        <v>252</v>
      </c>
      <c r="U8" s="188" t="s">
        <v>250</v>
      </c>
      <c r="V8" s="188" t="s">
        <v>253</v>
      </c>
      <c r="W8" s="189">
        <v>3</v>
      </c>
      <c r="X8" s="189" t="s">
        <v>274</v>
      </c>
      <c r="Y8" s="188" t="s">
        <v>275</v>
      </c>
      <c r="Z8" s="190"/>
    </row>
    <row r="9" spans="1:26" s="177" customFormat="1" ht="21" customHeight="1">
      <c r="A9" s="178">
        <v>6</v>
      </c>
      <c r="B9" s="179">
        <v>29581</v>
      </c>
      <c r="C9" s="180" t="s">
        <v>276</v>
      </c>
      <c r="D9" s="180" t="s">
        <v>277</v>
      </c>
      <c r="E9" s="180" t="s">
        <v>247</v>
      </c>
      <c r="F9" s="179" t="s">
        <v>278</v>
      </c>
      <c r="G9" s="179" t="s">
        <v>279</v>
      </c>
      <c r="H9" s="180" t="s">
        <v>249</v>
      </c>
      <c r="I9" s="181">
        <v>850000</v>
      </c>
      <c r="J9" s="181">
        <v>400000</v>
      </c>
      <c r="K9" s="181">
        <v>40000</v>
      </c>
      <c r="L9" s="182">
        <v>1047182</v>
      </c>
      <c r="M9" s="181">
        <f t="shared" si="0"/>
        <v>2337182</v>
      </c>
      <c r="N9" s="183">
        <v>2955757</v>
      </c>
      <c r="O9" s="184" t="s">
        <v>250</v>
      </c>
      <c r="P9" s="185">
        <v>1997</v>
      </c>
      <c r="Q9" s="186">
        <v>1944</v>
      </c>
      <c r="R9" s="186" t="s">
        <v>251</v>
      </c>
      <c r="S9" s="187">
        <v>1</v>
      </c>
      <c r="T9" s="188" t="s">
        <v>252</v>
      </c>
      <c r="U9" s="188" t="s">
        <v>250</v>
      </c>
      <c r="V9" s="188" t="s">
        <v>253</v>
      </c>
      <c r="W9" s="189">
        <v>3</v>
      </c>
      <c r="X9" s="189" t="s">
        <v>280</v>
      </c>
      <c r="Y9" s="188" t="s">
        <v>281</v>
      </c>
      <c r="Z9" s="190"/>
    </row>
    <row r="10" spans="1:26" s="177" customFormat="1" ht="21" customHeight="1">
      <c r="A10" s="178">
        <v>7</v>
      </c>
      <c r="B10" s="179">
        <v>29582</v>
      </c>
      <c r="C10" s="180" t="s">
        <v>282</v>
      </c>
      <c r="D10" s="180" t="s">
        <v>283</v>
      </c>
      <c r="E10" s="180" t="s">
        <v>247</v>
      </c>
      <c r="F10" s="179" t="s">
        <v>284</v>
      </c>
      <c r="G10" s="179" t="s">
        <v>259</v>
      </c>
      <c r="H10" s="180" t="s">
        <v>249</v>
      </c>
      <c r="I10" s="181">
        <v>850000</v>
      </c>
      <c r="J10" s="181">
        <v>400000</v>
      </c>
      <c r="K10" s="181">
        <v>40000</v>
      </c>
      <c r="L10" s="182">
        <v>797398</v>
      </c>
      <c r="M10" s="181">
        <f t="shared" si="0"/>
        <v>2087398</v>
      </c>
      <c r="N10" s="183">
        <v>2250722</v>
      </c>
      <c r="O10" s="184" t="s">
        <v>250</v>
      </c>
      <c r="P10" s="185">
        <v>1997</v>
      </c>
      <c r="Q10" s="186">
        <v>1980</v>
      </c>
      <c r="R10" s="186" t="s">
        <v>264</v>
      </c>
      <c r="S10" s="187">
        <v>1</v>
      </c>
      <c r="T10" s="188" t="s">
        <v>252</v>
      </c>
      <c r="U10" s="188" t="s">
        <v>250</v>
      </c>
      <c r="V10" s="188" t="s">
        <v>253</v>
      </c>
      <c r="W10" s="189">
        <v>3</v>
      </c>
      <c r="X10" s="189" t="s">
        <v>285</v>
      </c>
      <c r="Y10" s="188" t="s">
        <v>261</v>
      </c>
      <c r="Z10" s="190"/>
    </row>
    <row r="11" spans="1:26" s="177" customFormat="1" ht="21" customHeight="1">
      <c r="A11" s="178">
        <v>8</v>
      </c>
      <c r="B11" s="179">
        <v>29583</v>
      </c>
      <c r="C11" s="180" t="s">
        <v>286</v>
      </c>
      <c r="D11" s="180" t="s">
        <v>257</v>
      </c>
      <c r="E11" s="180" t="s">
        <v>247</v>
      </c>
      <c r="F11" s="179" t="s">
        <v>287</v>
      </c>
      <c r="G11" s="179" t="s">
        <v>259</v>
      </c>
      <c r="H11" s="180" t="s">
        <v>249</v>
      </c>
      <c r="I11" s="181">
        <v>850000</v>
      </c>
      <c r="J11" s="181">
        <v>400000</v>
      </c>
      <c r="K11" s="181">
        <v>40000</v>
      </c>
      <c r="L11" s="182">
        <v>442556</v>
      </c>
      <c r="M11" s="181">
        <f t="shared" si="0"/>
        <v>1732556</v>
      </c>
      <c r="N11" s="183">
        <v>1249150</v>
      </c>
      <c r="O11" s="184" t="s">
        <v>250</v>
      </c>
      <c r="P11" s="185">
        <v>1999</v>
      </c>
      <c r="Q11" s="186">
        <v>2304</v>
      </c>
      <c r="R11" s="186" t="s">
        <v>251</v>
      </c>
      <c r="S11" s="187">
        <v>1</v>
      </c>
      <c r="T11" s="188" t="s">
        <v>252</v>
      </c>
      <c r="U11" s="188" t="s">
        <v>250</v>
      </c>
      <c r="V11" s="188" t="s">
        <v>253</v>
      </c>
      <c r="W11" s="189">
        <v>3</v>
      </c>
      <c r="X11" s="189" t="s">
        <v>288</v>
      </c>
      <c r="Y11" s="188" t="s">
        <v>275</v>
      </c>
      <c r="Z11" s="190"/>
    </row>
    <row r="12" spans="1:26" s="177" customFormat="1" ht="21" customHeight="1">
      <c r="A12" s="178">
        <v>9</v>
      </c>
      <c r="B12" s="179">
        <v>29584</v>
      </c>
      <c r="C12" s="180" t="s">
        <v>289</v>
      </c>
      <c r="D12" s="180" t="s">
        <v>257</v>
      </c>
      <c r="E12" s="180" t="s">
        <v>247</v>
      </c>
      <c r="F12" s="179" t="s">
        <v>290</v>
      </c>
      <c r="G12" s="179" t="s">
        <v>259</v>
      </c>
      <c r="H12" s="180" t="s">
        <v>249</v>
      </c>
      <c r="I12" s="181">
        <v>850000</v>
      </c>
      <c r="J12" s="181">
        <v>400000</v>
      </c>
      <c r="K12" s="181">
        <v>40000</v>
      </c>
      <c r="L12" s="182">
        <v>742946</v>
      </c>
      <c r="M12" s="181">
        <f t="shared" si="0"/>
        <v>2032946</v>
      </c>
      <c r="N12" s="183">
        <v>2097026</v>
      </c>
      <c r="O12" s="184" t="s">
        <v>250</v>
      </c>
      <c r="P12" s="185">
        <v>1999</v>
      </c>
      <c r="Q12" s="186">
        <v>2394</v>
      </c>
      <c r="R12" s="186" t="s">
        <v>264</v>
      </c>
      <c r="S12" s="187">
        <v>1</v>
      </c>
      <c r="T12" s="188" t="s">
        <v>252</v>
      </c>
      <c r="U12" s="188" t="s">
        <v>250</v>
      </c>
      <c r="V12" s="188" t="s">
        <v>253</v>
      </c>
      <c r="W12" s="189">
        <v>3</v>
      </c>
      <c r="X12" s="189" t="s">
        <v>291</v>
      </c>
      <c r="Y12" s="188" t="s">
        <v>266</v>
      </c>
      <c r="Z12" s="190"/>
    </row>
    <row r="13" spans="1:26" s="177" customFormat="1" ht="21" customHeight="1">
      <c r="A13" s="178">
        <v>10</v>
      </c>
      <c r="B13" s="179">
        <v>29585</v>
      </c>
      <c r="C13" s="180" t="s">
        <v>292</v>
      </c>
      <c r="D13" s="180" t="s">
        <v>293</v>
      </c>
      <c r="E13" s="180" t="s">
        <v>247</v>
      </c>
      <c r="F13" s="179" t="s">
        <v>294</v>
      </c>
      <c r="G13" s="179" t="s">
        <v>295</v>
      </c>
      <c r="H13" s="180" t="s">
        <v>249</v>
      </c>
      <c r="I13" s="181">
        <v>850000</v>
      </c>
      <c r="J13" s="181">
        <v>400000</v>
      </c>
      <c r="K13" s="181">
        <v>40000</v>
      </c>
      <c r="L13" s="182">
        <v>668152</v>
      </c>
      <c r="M13" s="181">
        <f t="shared" si="0"/>
        <v>1958152</v>
      </c>
      <c r="N13" s="183">
        <v>1885914</v>
      </c>
      <c r="O13" s="184" t="s">
        <v>250</v>
      </c>
      <c r="P13" s="185">
        <v>2000</v>
      </c>
      <c r="Q13" s="186">
        <v>2166</v>
      </c>
      <c r="R13" s="186" t="s">
        <v>264</v>
      </c>
      <c r="S13" s="187">
        <v>1</v>
      </c>
      <c r="T13" s="188" t="s">
        <v>252</v>
      </c>
      <c r="U13" s="188" t="s">
        <v>250</v>
      </c>
      <c r="V13" s="188" t="s">
        <v>253</v>
      </c>
      <c r="W13" s="189">
        <v>3</v>
      </c>
      <c r="X13" s="189" t="s">
        <v>296</v>
      </c>
      <c r="Y13" s="188" t="s">
        <v>261</v>
      </c>
      <c r="Z13" s="190"/>
    </row>
    <row r="14" spans="1:26" s="177" customFormat="1" ht="21" customHeight="1">
      <c r="A14" s="178">
        <v>11</v>
      </c>
      <c r="B14" s="179">
        <v>29586</v>
      </c>
      <c r="C14" s="180" t="s">
        <v>297</v>
      </c>
      <c r="D14" s="180" t="s">
        <v>257</v>
      </c>
      <c r="E14" s="180" t="s">
        <v>247</v>
      </c>
      <c r="F14" s="179" t="s">
        <v>298</v>
      </c>
      <c r="G14" s="179" t="s">
        <v>259</v>
      </c>
      <c r="H14" s="180" t="s">
        <v>249</v>
      </c>
      <c r="I14" s="181">
        <v>850000</v>
      </c>
      <c r="J14" s="181">
        <v>400000</v>
      </c>
      <c r="K14" s="181">
        <v>40000</v>
      </c>
      <c r="L14" s="182">
        <v>474088</v>
      </c>
      <c r="M14" s="181">
        <f t="shared" si="0"/>
        <v>1764088</v>
      </c>
      <c r="N14" s="183">
        <v>1338151</v>
      </c>
      <c r="O14" s="184" t="s">
        <v>250</v>
      </c>
      <c r="P14" s="185">
        <v>2000</v>
      </c>
      <c r="Q14" s="186">
        <v>2304</v>
      </c>
      <c r="R14" s="186" t="s">
        <v>251</v>
      </c>
      <c r="S14" s="187">
        <v>1</v>
      </c>
      <c r="T14" s="188" t="s">
        <v>252</v>
      </c>
      <c r="U14" s="188" t="s">
        <v>250</v>
      </c>
      <c r="V14" s="188" t="s">
        <v>253</v>
      </c>
      <c r="W14" s="189">
        <v>3</v>
      </c>
      <c r="X14" s="189" t="s">
        <v>299</v>
      </c>
      <c r="Y14" s="188" t="s">
        <v>275</v>
      </c>
      <c r="Z14" s="190"/>
    </row>
    <row r="15" spans="1:26" s="177" customFormat="1" ht="21" customHeight="1">
      <c r="A15" s="178">
        <v>12</v>
      </c>
      <c r="B15" s="179">
        <v>29587</v>
      </c>
      <c r="C15" s="180" t="s">
        <v>300</v>
      </c>
      <c r="D15" s="180" t="s">
        <v>293</v>
      </c>
      <c r="E15" s="180" t="s">
        <v>247</v>
      </c>
      <c r="F15" s="179" t="s">
        <v>301</v>
      </c>
      <c r="G15" s="179" t="s">
        <v>295</v>
      </c>
      <c r="H15" s="180" t="s">
        <v>249</v>
      </c>
      <c r="I15" s="181">
        <v>850000</v>
      </c>
      <c r="J15" s="181">
        <v>400000</v>
      </c>
      <c r="K15" s="181">
        <v>40000</v>
      </c>
      <c r="L15" s="182">
        <v>719164</v>
      </c>
      <c r="M15" s="181">
        <f t="shared" si="0"/>
        <v>2009164</v>
      </c>
      <c r="N15" s="183">
        <v>2029898</v>
      </c>
      <c r="O15" s="184" t="s">
        <v>250</v>
      </c>
      <c r="P15" s="185">
        <v>2001</v>
      </c>
      <c r="Q15" s="186">
        <v>2060</v>
      </c>
      <c r="R15" s="186" t="s">
        <v>264</v>
      </c>
      <c r="S15" s="187">
        <v>1</v>
      </c>
      <c r="T15" s="188" t="s">
        <v>252</v>
      </c>
      <c r="U15" s="188" t="s">
        <v>250</v>
      </c>
      <c r="V15" s="188" t="s">
        <v>253</v>
      </c>
      <c r="W15" s="189">
        <v>3</v>
      </c>
      <c r="X15" s="189" t="s">
        <v>302</v>
      </c>
      <c r="Y15" s="188" t="s">
        <v>303</v>
      </c>
      <c r="Z15" s="190"/>
    </row>
    <row r="16" spans="1:26" s="192" customFormat="1" ht="21" customHeight="1">
      <c r="A16" s="178">
        <v>13</v>
      </c>
      <c r="B16" s="179">
        <v>29588</v>
      </c>
      <c r="C16" s="180" t="s">
        <v>304</v>
      </c>
      <c r="D16" s="180" t="s">
        <v>272</v>
      </c>
      <c r="E16" s="180" t="s">
        <v>247</v>
      </c>
      <c r="F16" s="179" t="s">
        <v>273</v>
      </c>
      <c r="G16" s="179" t="s">
        <v>259</v>
      </c>
      <c r="H16" s="180" t="s">
        <v>249</v>
      </c>
      <c r="I16" s="181">
        <v>850000</v>
      </c>
      <c r="J16" s="181">
        <v>400000</v>
      </c>
      <c r="K16" s="181">
        <v>40000</v>
      </c>
      <c r="L16" s="182">
        <v>802618</v>
      </c>
      <c r="M16" s="181">
        <f t="shared" si="0"/>
        <v>2092618</v>
      </c>
      <c r="N16" s="183">
        <v>2265453</v>
      </c>
      <c r="O16" s="184" t="s">
        <v>250</v>
      </c>
      <c r="P16" s="185">
        <v>2003</v>
      </c>
      <c r="Q16" s="186">
        <v>2062</v>
      </c>
      <c r="R16" s="186" t="s">
        <v>264</v>
      </c>
      <c r="S16" s="187">
        <v>1</v>
      </c>
      <c r="T16" s="188" t="s">
        <v>252</v>
      </c>
      <c r="U16" s="188" t="s">
        <v>250</v>
      </c>
      <c r="V16" s="188" t="s">
        <v>253</v>
      </c>
      <c r="W16" s="189">
        <v>3</v>
      </c>
      <c r="X16" s="189" t="s">
        <v>305</v>
      </c>
      <c r="Y16" s="188" t="s">
        <v>306</v>
      </c>
      <c r="Z16" s="191"/>
    </row>
    <row r="17" spans="1:26" s="192" customFormat="1" ht="21" customHeight="1">
      <c r="A17" s="193">
        <v>14</v>
      </c>
      <c r="B17" s="194">
        <v>29589</v>
      </c>
      <c r="C17" s="194" t="s">
        <v>307</v>
      </c>
      <c r="D17" s="194" t="s">
        <v>308</v>
      </c>
      <c r="E17" s="194" t="s">
        <v>247</v>
      </c>
      <c r="F17" s="194" t="s">
        <v>309</v>
      </c>
      <c r="G17" s="194" t="s">
        <v>279</v>
      </c>
      <c r="H17" s="180" t="s">
        <v>249</v>
      </c>
      <c r="I17" s="181">
        <v>850000</v>
      </c>
      <c r="J17" s="181">
        <v>400000</v>
      </c>
      <c r="K17" s="181">
        <v>40000</v>
      </c>
      <c r="L17" s="182">
        <v>422612</v>
      </c>
      <c r="M17" s="181">
        <f t="shared" si="0"/>
        <v>1712612</v>
      </c>
      <c r="N17" s="183">
        <v>1192856</v>
      </c>
      <c r="O17" s="184" t="s">
        <v>250</v>
      </c>
      <c r="P17" s="185">
        <v>2005</v>
      </c>
      <c r="Q17" s="186">
        <v>2304</v>
      </c>
      <c r="R17" s="186" t="s">
        <v>251</v>
      </c>
      <c r="S17" s="187">
        <v>1</v>
      </c>
      <c r="T17" s="188" t="s">
        <v>252</v>
      </c>
      <c r="U17" s="188" t="s">
        <v>250</v>
      </c>
      <c r="V17" s="188" t="s">
        <v>310</v>
      </c>
      <c r="W17" s="189">
        <v>4</v>
      </c>
      <c r="X17" s="189" t="s">
        <v>311</v>
      </c>
      <c r="Y17" s="188" t="s">
        <v>312</v>
      </c>
      <c r="Z17" s="191" t="s">
        <v>313</v>
      </c>
    </row>
    <row r="18" spans="1:26" s="192" customFormat="1" ht="21" customHeight="1">
      <c r="A18" s="193">
        <v>15</v>
      </c>
      <c r="B18" s="194">
        <v>29590</v>
      </c>
      <c r="C18" s="194" t="s">
        <v>314</v>
      </c>
      <c r="D18" s="194" t="s">
        <v>315</v>
      </c>
      <c r="E18" s="194" t="s">
        <v>247</v>
      </c>
      <c r="F18" s="194" t="s">
        <v>316</v>
      </c>
      <c r="G18" s="194" t="s">
        <v>259</v>
      </c>
      <c r="H18" s="180" t="s">
        <v>249</v>
      </c>
      <c r="I18" s="181">
        <v>850000</v>
      </c>
      <c r="J18" s="181">
        <v>400000</v>
      </c>
      <c r="K18" s="181">
        <v>40000</v>
      </c>
      <c r="L18" s="182">
        <v>718142</v>
      </c>
      <c r="M18" s="181">
        <f t="shared" si="0"/>
        <v>2008142</v>
      </c>
      <c r="N18" s="183">
        <v>2027013</v>
      </c>
      <c r="O18" s="184" t="s">
        <v>250</v>
      </c>
      <c r="P18" s="185">
        <v>2005</v>
      </c>
      <c r="Q18" s="186">
        <v>2880</v>
      </c>
      <c r="R18" s="186" t="s">
        <v>264</v>
      </c>
      <c r="S18" s="187">
        <v>1</v>
      </c>
      <c r="T18" s="188" t="s">
        <v>252</v>
      </c>
      <c r="U18" s="188" t="s">
        <v>250</v>
      </c>
      <c r="V18" s="188" t="s">
        <v>253</v>
      </c>
      <c r="W18" s="189">
        <v>5</v>
      </c>
      <c r="X18" s="189" t="s">
        <v>317</v>
      </c>
      <c r="Y18" s="188" t="s">
        <v>266</v>
      </c>
      <c r="Z18" s="191"/>
    </row>
    <row r="19" spans="1:26" s="192" customFormat="1" ht="21" customHeight="1">
      <c r="A19" s="193">
        <v>16</v>
      </c>
      <c r="B19" s="194">
        <v>29591</v>
      </c>
      <c r="C19" s="194" t="s">
        <v>318</v>
      </c>
      <c r="D19" s="194" t="s">
        <v>319</v>
      </c>
      <c r="E19" s="194" t="s">
        <v>247</v>
      </c>
      <c r="F19" s="194" t="s">
        <v>320</v>
      </c>
      <c r="G19" s="194" t="s">
        <v>295</v>
      </c>
      <c r="H19" s="180" t="s">
        <v>249</v>
      </c>
      <c r="I19" s="181">
        <v>850000</v>
      </c>
      <c r="J19" s="181">
        <v>400000</v>
      </c>
      <c r="K19" s="181">
        <v>40000</v>
      </c>
      <c r="L19" s="182">
        <v>496372</v>
      </c>
      <c r="M19" s="181">
        <f t="shared" si="0"/>
        <v>1786372</v>
      </c>
      <c r="N19" s="183">
        <v>1401049</v>
      </c>
      <c r="O19" s="184" t="s">
        <v>250</v>
      </c>
      <c r="P19" s="185">
        <v>2005</v>
      </c>
      <c r="Q19" s="186">
        <v>3067</v>
      </c>
      <c r="R19" s="186" t="s">
        <v>264</v>
      </c>
      <c r="S19" s="187">
        <v>1</v>
      </c>
      <c r="T19" s="188" t="s">
        <v>252</v>
      </c>
      <c r="U19" s="188" t="s">
        <v>250</v>
      </c>
      <c r="V19" s="188" t="s">
        <v>253</v>
      </c>
      <c r="W19" s="189">
        <v>4</v>
      </c>
      <c r="X19" s="189" t="s">
        <v>321</v>
      </c>
      <c r="Y19" s="188" t="s">
        <v>275</v>
      </c>
      <c r="Z19" s="191"/>
    </row>
    <row r="20" spans="1:26" s="192" customFormat="1" ht="21" customHeight="1">
      <c r="A20" s="193">
        <v>17</v>
      </c>
      <c r="B20" s="194">
        <v>29592</v>
      </c>
      <c r="C20" s="194" t="s">
        <v>322</v>
      </c>
      <c r="D20" s="194" t="s">
        <v>323</v>
      </c>
      <c r="E20" s="194" t="s">
        <v>247</v>
      </c>
      <c r="F20" s="194" t="s">
        <v>324</v>
      </c>
      <c r="G20" s="194" t="s">
        <v>279</v>
      </c>
      <c r="H20" s="180" t="s">
        <v>249</v>
      </c>
      <c r="I20" s="181">
        <v>850000</v>
      </c>
      <c r="J20" s="181">
        <v>400000</v>
      </c>
      <c r="K20" s="181">
        <v>40000</v>
      </c>
      <c r="L20" s="182">
        <v>580418</v>
      </c>
      <c r="M20" s="181">
        <f t="shared" si="0"/>
        <v>1870418</v>
      </c>
      <c r="N20" s="183">
        <v>1638276</v>
      </c>
      <c r="O20" s="184" t="s">
        <v>250</v>
      </c>
      <c r="P20" s="185">
        <v>2008</v>
      </c>
      <c r="Q20" s="186">
        <v>2787</v>
      </c>
      <c r="R20" s="186" t="s">
        <v>251</v>
      </c>
      <c r="S20" s="187">
        <v>1</v>
      </c>
      <c r="T20" s="188" t="s">
        <v>252</v>
      </c>
      <c r="U20" s="188" t="s">
        <v>250</v>
      </c>
      <c r="V20" s="188" t="s">
        <v>253</v>
      </c>
      <c r="W20" s="189">
        <v>4</v>
      </c>
      <c r="X20" s="189" t="s">
        <v>325</v>
      </c>
      <c r="Y20" s="188" t="s">
        <v>261</v>
      </c>
      <c r="Z20" s="191"/>
    </row>
    <row r="21" spans="1:26" s="192" customFormat="1" ht="21" customHeight="1">
      <c r="A21" s="193">
        <v>18</v>
      </c>
      <c r="B21" s="194">
        <v>29593</v>
      </c>
      <c r="C21" s="194" t="s">
        <v>326</v>
      </c>
      <c r="D21" s="194" t="s">
        <v>327</v>
      </c>
      <c r="E21" s="194" t="s">
        <v>247</v>
      </c>
      <c r="F21" s="194" t="s">
        <v>328</v>
      </c>
      <c r="G21" s="194" t="s">
        <v>279</v>
      </c>
      <c r="H21" s="180" t="s">
        <v>249</v>
      </c>
      <c r="I21" s="181">
        <v>850000</v>
      </c>
      <c r="J21" s="181">
        <v>400000</v>
      </c>
      <c r="K21" s="181">
        <v>40000</v>
      </c>
      <c r="L21" s="182">
        <v>742110</v>
      </c>
      <c r="M21" s="181">
        <f t="shared" si="0"/>
        <v>2032110</v>
      </c>
      <c r="N21" s="183">
        <v>2094664</v>
      </c>
      <c r="O21" s="184" t="s">
        <v>250</v>
      </c>
      <c r="P21" s="185">
        <v>2010</v>
      </c>
      <c r="Q21" s="186">
        <v>2855</v>
      </c>
      <c r="R21" s="186" t="s">
        <v>251</v>
      </c>
      <c r="S21" s="187">
        <v>1</v>
      </c>
      <c r="T21" s="188" t="s">
        <v>252</v>
      </c>
      <c r="U21" s="188" t="s">
        <v>250</v>
      </c>
      <c r="V21" s="188" t="s">
        <v>253</v>
      </c>
      <c r="W21" s="189">
        <v>4</v>
      </c>
      <c r="X21" s="189" t="s">
        <v>329</v>
      </c>
      <c r="Y21" s="188" t="s">
        <v>266</v>
      </c>
      <c r="Z21" s="191"/>
    </row>
    <row r="22" spans="1:26" s="192" customFormat="1" ht="21" customHeight="1">
      <c r="A22" s="193">
        <v>19</v>
      </c>
      <c r="B22" s="194">
        <v>29594</v>
      </c>
      <c r="C22" s="194" t="s">
        <v>330</v>
      </c>
      <c r="D22" s="194" t="s">
        <v>331</v>
      </c>
      <c r="E22" s="194" t="s">
        <v>247</v>
      </c>
      <c r="F22" s="194" t="s">
        <v>332</v>
      </c>
      <c r="G22" s="194" t="s">
        <v>279</v>
      </c>
      <c r="H22" s="180" t="s">
        <v>249</v>
      </c>
      <c r="I22" s="181">
        <v>850000</v>
      </c>
      <c r="J22" s="181">
        <v>400000</v>
      </c>
      <c r="K22" s="181">
        <v>40000</v>
      </c>
      <c r="L22" s="182">
        <v>428489</v>
      </c>
      <c r="M22" s="181">
        <f t="shared" si="0"/>
        <v>1718489</v>
      </c>
      <c r="N22" s="183">
        <v>1209444</v>
      </c>
      <c r="O22" s="184" t="s">
        <v>250</v>
      </c>
      <c r="P22" s="185">
        <v>2012</v>
      </c>
      <c r="Q22" s="186">
        <v>2300</v>
      </c>
      <c r="R22" s="186" t="s">
        <v>264</v>
      </c>
      <c r="S22" s="187">
        <v>1</v>
      </c>
      <c r="T22" s="188" t="s">
        <v>252</v>
      </c>
      <c r="U22" s="188" t="s">
        <v>250</v>
      </c>
      <c r="V22" s="188" t="s">
        <v>253</v>
      </c>
      <c r="W22" s="189">
        <v>3</v>
      </c>
      <c r="X22" s="189" t="s">
        <v>333</v>
      </c>
      <c r="Y22" s="188" t="s">
        <v>334</v>
      </c>
      <c r="Z22" s="191"/>
    </row>
    <row r="23" spans="1:26" s="192" customFormat="1" ht="21" customHeight="1">
      <c r="A23" s="193">
        <v>20</v>
      </c>
      <c r="B23" s="194">
        <v>29595</v>
      </c>
      <c r="C23" s="194" t="s">
        <v>335</v>
      </c>
      <c r="D23" s="194" t="s">
        <v>257</v>
      </c>
      <c r="E23" s="194" t="s">
        <v>247</v>
      </c>
      <c r="F23" s="194" t="s">
        <v>336</v>
      </c>
      <c r="G23" s="194" t="s">
        <v>259</v>
      </c>
      <c r="H23" s="180" t="s">
        <v>249</v>
      </c>
      <c r="I23" s="181">
        <v>850000</v>
      </c>
      <c r="J23" s="181">
        <v>400000</v>
      </c>
      <c r="K23" s="181">
        <v>40000</v>
      </c>
      <c r="L23" s="182">
        <v>587623</v>
      </c>
      <c r="M23" s="181">
        <f t="shared" si="0"/>
        <v>1877623</v>
      </c>
      <c r="N23" s="183">
        <v>1658613</v>
      </c>
      <c r="O23" s="184" t="s">
        <v>250</v>
      </c>
      <c r="P23" s="185">
        <v>2012</v>
      </c>
      <c r="Q23" s="186">
        <v>2300</v>
      </c>
      <c r="R23" s="186" t="s">
        <v>264</v>
      </c>
      <c r="S23" s="187">
        <v>1</v>
      </c>
      <c r="T23" s="188" t="s">
        <v>252</v>
      </c>
      <c r="U23" s="188" t="s">
        <v>250</v>
      </c>
      <c r="V23" s="188" t="s">
        <v>253</v>
      </c>
      <c r="W23" s="189">
        <v>3</v>
      </c>
      <c r="X23" s="189" t="s">
        <v>337</v>
      </c>
      <c r="Y23" s="188" t="s">
        <v>261</v>
      </c>
      <c r="Z23" s="191"/>
    </row>
    <row r="24" spans="1:26" s="192" customFormat="1" ht="21" customHeight="1">
      <c r="A24" s="193">
        <v>21</v>
      </c>
      <c r="B24" s="194">
        <v>30436</v>
      </c>
      <c r="C24" s="194" t="s">
        <v>338</v>
      </c>
      <c r="D24" s="194" t="s">
        <v>339</v>
      </c>
      <c r="E24" s="194" t="s">
        <v>247</v>
      </c>
      <c r="F24" s="194">
        <v>33707</v>
      </c>
      <c r="G24" s="194" t="s">
        <v>248</v>
      </c>
      <c r="H24" s="180" t="s">
        <v>249</v>
      </c>
      <c r="I24" s="181">
        <v>1441000</v>
      </c>
      <c r="J24" s="181">
        <v>400000</v>
      </c>
      <c r="K24" s="181">
        <v>40000</v>
      </c>
      <c r="L24" s="182">
        <v>427128</v>
      </c>
      <c r="M24" s="181">
        <f t="shared" si="0"/>
        <v>2308128</v>
      </c>
      <c r="N24" s="183">
        <v>1205604</v>
      </c>
      <c r="O24" s="184" t="s">
        <v>250</v>
      </c>
      <c r="P24" s="185">
        <v>2014</v>
      </c>
      <c r="Q24" s="186">
        <v>2141</v>
      </c>
      <c r="R24" s="186" t="s">
        <v>264</v>
      </c>
      <c r="S24" s="187">
        <v>1</v>
      </c>
      <c r="T24" s="188" t="s">
        <v>252</v>
      </c>
      <c r="U24" s="188" t="s">
        <v>250</v>
      </c>
      <c r="V24" s="188" t="s">
        <v>310</v>
      </c>
      <c r="W24" s="189">
        <v>4</v>
      </c>
      <c r="X24" s="189" t="s">
        <v>340</v>
      </c>
      <c r="Y24" s="188" t="s">
        <v>261</v>
      </c>
      <c r="Z24" s="191" t="s">
        <v>313</v>
      </c>
    </row>
    <row r="25" spans="1:26" s="192" customFormat="1" ht="21" customHeight="1">
      <c r="A25" s="193">
        <v>22</v>
      </c>
      <c r="B25" s="194">
        <v>30370</v>
      </c>
      <c r="C25" s="194" t="s">
        <v>341</v>
      </c>
      <c r="D25" s="194" t="s">
        <v>246</v>
      </c>
      <c r="E25" s="194" t="s">
        <v>247</v>
      </c>
      <c r="F25" s="194" t="s">
        <v>342</v>
      </c>
      <c r="G25" s="194" t="s">
        <v>248</v>
      </c>
      <c r="H25" s="180" t="s">
        <v>249</v>
      </c>
      <c r="I25" s="181">
        <v>850000</v>
      </c>
      <c r="J25" s="181">
        <v>400000</v>
      </c>
      <c r="K25" s="181">
        <v>40000</v>
      </c>
      <c r="L25" s="182">
        <v>377617</v>
      </c>
      <c r="M25" s="181">
        <f t="shared" si="0"/>
        <v>1667617</v>
      </c>
      <c r="N25" s="183">
        <v>1065855</v>
      </c>
      <c r="O25" s="184" t="s">
        <v>250</v>
      </c>
      <c r="P25" s="185">
        <v>2014</v>
      </c>
      <c r="Q25" s="186">
        <v>1935</v>
      </c>
      <c r="R25" s="186" t="s">
        <v>264</v>
      </c>
      <c r="S25" s="187">
        <v>1</v>
      </c>
      <c r="T25" s="188" t="s">
        <v>252</v>
      </c>
      <c r="U25" s="188" t="s">
        <v>250</v>
      </c>
      <c r="V25" s="188" t="s">
        <v>310</v>
      </c>
      <c r="W25" s="189">
        <v>2</v>
      </c>
      <c r="X25" s="189" t="s">
        <v>343</v>
      </c>
      <c r="Y25" s="188" t="s">
        <v>344</v>
      </c>
      <c r="Z25" s="191" t="s">
        <v>313</v>
      </c>
    </row>
    <row r="26" spans="1:26" s="192" customFormat="1" ht="21" customHeight="1">
      <c r="A26" s="178">
        <v>23</v>
      </c>
      <c r="B26" s="179">
        <v>31006</v>
      </c>
      <c r="C26" s="180" t="s">
        <v>345</v>
      </c>
      <c r="D26" s="180" t="s">
        <v>346</v>
      </c>
      <c r="E26" s="180" t="s">
        <v>247</v>
      </c>
      <c r="F26" s="179" t="s">
        <v>347</v>
      </c>
      <c r="G26" s="179" t="s">
        <v>348</v>
      </c>
      <c r="H26" s="180" t="s">
        <v>249</v>
      </c>
      <c r="I26" s="181">
        <v>850000</v>
      </c>
      <c r="J26" s="181">
        <v>400000</v>
      </c>
      <c r="K26" s="181">
        <v>40000</v>
      </c>
      <c r="L26" s="182">
        <v>414363</v>
      </c>
      <c r="M26" s="181">
        <f t="shared" si="0"/>
        <v>1704363</v>
      </c>
      <c r="N26" s="183">
        <v>1169572</v>
      </c>
      <c r="O26" s="184" t="s">
        <v>250</v>
      </c>
      <c r="P26" s="185">
        <v>2015</v>
      </c>
      <c r="Q26" s="186">
        <v>2200</v>
      </c>
      <c r="R26" s="186" t="s">
        <v>264</v>
      </c>
      <c r="S26" s="187">
        <v>1</v>
      </c>
      <c r="T26" s="188" t="s">
        <v>252</v>
      </c>
      <c r="U26" s="188" t="s">
        <v>250</v>
      </c>
      <c r="V26" s="188" t="s">
        <v>253</v>
      </c>
      <c r="W26" s="189">
        <v>2</v>
      </c>
      <c r="X26" s="189" t="s">
        <v>349</v>
      </c>
      <c r="Y26" s="188" t="s">
        <v>261</v>
      </c>
      <c r="Z26" s="191"/>
    </row>
    <row r="27" spans="1:26" s="192" customFormat="1" ht="21" customHeight="1">
      <c r="A27" s="178">
        <v>24</v>
      </c>
      <c r="B27" s="179">
        <v>31597</v>
      </c>
      <c r="C27" s="180" t="s">
        <v>350</v>
      </c>
      <c r="D27" s="180" t="s">
        <v>257</v>
      </c>
      <c r="E27" s="180" t="s">
        <v>247</v>
      </c>
      <c r="F27" s="179" t="s">
        <v>351</v>
      </c>
      <c r="G27" s="179" t="s">
        <v>259</v>
      </c>
      <c r="H27" s="180" t="s">
        <v>249</v>
      </c>
      <c r="I27" s="181">
        <v>850000</v>
      </c>
      <c r="J27" s="181">
        <v>400000</v>
      </c>
      <c r="K27" s="181">
        <v>40000</v>
      </c>
      <c r="L27" s="182">
        <v>474604</v>
      </c>
      <c r="M27" s="181">
        <f t="shared" si="0"/>
        <v>1764604</v>
      </c>
      <c r="N27" s="183">
        <v>1339608</v>
      </c>
      <c r="O27" s="184" t="s">
        <v>250</v>
      </c>
      <c r="P27" s="185">
        <v>2015</v>
      </c>
      <c r="Q27" s="186">
        <v>2200</v>
      </c>
      <c r="R27" s="186" t="s">
        <v>264</v>
      </c>
      <c r="S27" s="187">
        <v>1</v>
      </c>
      <c r="T27" s="188" t="s">
        <v>252</v>
      </c>
      <c r="U27" s="188" t="s">
        <v>250</v>
      </c>
      <c r="V27" s="188" t="s">
        <v>253</v>
      </c>
      <c r="W27" s="189">
        <v>3</v>
      </c>
      <c r="X27" s="189" t="s">
        <v>352</v>
      </c>
      <c r="Y27" s="188" t="s">
        <v>275</v>
      </c>
      <c r="Z27" s="191"/>
    </row>
    <row r="28" spans="1:26" s="192" customFormat="1" ht="21" customHeight="1">
      <c r="A28" s="178">
        <v>25</v>
      </c>
      <c r="B28" s="179">
        <v>32758</v>
      </c>
      <c r="C28" s="180" t="s">
        <v>353</v>
      </c>
      <c r="D28" s="180" t="s">
        <v>293</v>
      </c>
      <c r="E28" s="180" t="s">
        <v>247</v>
      </c>
      <c r="F28" s="179" t="s">
        <v>354</v>
      </c>
      <c r="G28" s="179" t="s">
        <v>295</v>
      </c>
      <c r="H28" s="180" t="s">
        <v>249</v>
      </c>
      <c r="I28" s="181">
        <v>850000</v>
      </c>
      <c r="J28" s="181">
        <v>400000</v>
      </c>
      <c r="K28" s="181">
        <v>40000</v>
      </c>
      <c r="L28" s="182">
        <v>594705</v>
      </c>
      <c r="M28" s="181">
        <f t="shared" si="0"/>
        <v>1884705</v>
      </c>
      <c r="N28" s="183">
        <v>1678603</v>
      </c>
      <c r="O28" s="184" t="s">
        <v>250</v>
      </c>
      <c r="P28" s="185">
        <v>2017</v>
      </c>
      <c r="Q28" s="186">
        <v>2258</v>
      </c>
      <c r="R28" s="186" t="s">
        <v>264</v>
      </c>
      <c r="S28" s="187">
        <v>1</v>
      </c>
      <c r="T28" s="188" t="s">
        <v>252</v>
      </c>
      <c r="U28" s="188" t="s">
        <v>250</v>
      </c>
      <c r="V28" s="188" t="s">
        <v>253</v>
      </c>
      <c r="W28" s="189">
        <v>3</v>
      </c>
      <c r="X28" s="189" t="s">
        <v>355</v>
      </c>
      <c r="Y28" s="188" t="s">
        <v>275</v>
      </c>
      <c r="Z28" s="191"/>
    </row>
    <row r="29" spans="1:26" s="192" customFormat="1" ht="21" customHeight="1">
      <c r="A29" s="178">
        <v>26</v>
      </c>
      <c r="B29" s="179">
        <v>34960</v>
      </c>
      <c r="C29" s="180" t="s">
        <v>356</v>
      </c>
      <c r="D29" s="180" t="s">
        <v>293</v>
      </c>
      <c r="E29" s="180" t="s">
        <v>247</v>
      </c>
      <c r="F29" s="179" t="s">
        <v>357</v>
      </c>
      <c r="G29" s="179" t="s">
        <v>295</v>
      </c>
      <c r="H29" s="180" t="s">
        <v>249</v>
      </c>
      <c r="I29" s="181">
        <v>850000</v>
      </c>
      <c r="J29" s="181">
        <v>400000</v>
      </c>
      <c r="K29" s="181">
        <v>40000</v>
      </c>
      <c r="L29" s="182">
        <v>324554</v>
      </c>
      <c r="M29" s="181">
        <f t="shared" si="0"/>
        <v>1614554</v>
      </c>
      <c r="N29" s="183">
        <v>916079</v>
      </c>
      <c r="O29" s="184" t="s">
        <v>250</v>
      </c>
      <c r="P29" s="185">
        <v>2018</v>
      </c>
      <c r="Q29" s="186">
        <v>3000</v>
      </c>
      <c r="R29" s="186" t="s">
        <v>264</v>
      </c>
      <c r="S29" s="187">
        <v>1</v>
      </c>
      <c r="T29" s="188" t="s">
        <v>250</v>
      </c>
      <c r="U29" s="188" t="s">
        <v>250</v>
      </c>
      <c r="V29" s="188" t="s">
        <v>253</v>
      </c>
      <c r="W29" s="189">
        <v>2</v>
      </c>
      <c r="X29" s="189" t="s">
        <v>358</v>
      </c>
      <c r="Y29" s="188" t="s">
        <v>261</v>
      </c>
      <c r="Z29" s="191"/>
    </row>
    <row r="30" spans="1:26" s="201" customFormat="1" ht="21" customHeight="1">
      <c r="A30" s="193">
        <v>27</v>
      </c>
      <c r="B30" s="195" t="s">
        <v>359</v>
      </c>
      <c r="C30" s="194" t="s">
        <v>360</v>
      </c>
      <c r="D30" s="194" t="s">
        <v>331</v>
      </c>
      <c r="E30" s="194" t="s">
        <v>247</v>
      </c>
      <c r="F30" s="194">
        <v>33578</v>
      </c>
      <c r="G30" s="194" t="s">
        <v>248</v>
      </c>
      <c r="H30" s="194" t="s">
        <v>249</v>
      </c>
      <c r="I30" s="183">
        <v>850000</v>
      </c>
      <c r="J30" s="183">
        <v>400000</v>
      </c>
      <c r="K30" s="183">
        <v>40000</v>
      </c>
      <c r="L30" s="183">
        <v>525000</v>
      </c>
      <c r="M30" s="183">
        <f t="shared" si="0"/>
        <v>1815000</v>
      </c>
      <c r="N30" s="183">
        <v>1500000</v>
      </c>
      <c r="O30" s="196" t="s">
        <v>250</v>
      </c>
      <c r="P30" s="197">
        <v>2011</v>
      </c>
      <c r="Q30" s="198">
        <v>2200</v>
      </c>
      <c r="R30" s="198" t="s">
        <v>264</v>
      </c>
      <c r="S30" s="187">
        <v>1</v>
      </c>
      <c r="T30" s="188" t="s">
        <v>250</v>
      </c>
      <c r="U30" s="188" t="s">
        <v>252</v>
      </c>
      <c r="V30" s="188"/>
      <c r="W30" s="189"/>
      <c r="X30" s="188" t="s">
        <v>361</v>
      </c>
      <c r="Y30" s="199" t="s">
        <v>362</v>
      </c>
      <c r="Z30" s="200"/>
    </row>
    <row r="31" spans="1:26" s="192" customFormat="1" ht="21" customHeight="1">
      <c r="A31" s="202" t="s">
        <v>135</v>
      </c>
      <c r="B31" s="202"/>
      <c r="C31" s="202"/>
      <c r="D31" s="202"/>
      <c r="E31" s="202"/>
      <c r="F31" s="202"/>
      <c r="G31" s="202"/>
      <c r="H31" s="202"/>
      <c r="I31" s="203">
        <f>SUM(I4:I30)</f>
        <v>23541000</v>
      </c>
      <c r="J31" s="203">
        <f t="shared" ref="J31:N31" si="1">SUM(J4:J30)</f>
        <v>10800000</v>
      </c>
      <c r="K31" s="203">
        <f t="shared" si="1"/>
        <v>1080000</v>
      </c>
      <c r="L31" s="203">
        <f t="shared" si="1"/>
        <v>15853160</v>
      </c>
      <c r="M31" s="203">
        <f t="shared" si="1"/>
        <v>51274160</v>
      </c>
      <c r="N31" s="203">
        <f t="shared" si="1"/>
        <v>44764966</v>
      </c>
      <c r="O31" s="204"/>
      <c r="P31" s="205"/>
      <c r="Q31" s="205"/>
      <c r="R31" s="205"/>
      <c r="S31" s="206"/>
      <c r="T31" s="204"/>
      <c r="U31" s="204"/>
      <c r="V31" s="204"/>
      <c r="W31" s="204"/>
      <c r="X31" s="204"/>
      <c r="Y31" s="207"/>
      <c r="Z31" s="207"/>
    </row>
    <row r="32" spans="1:26" s="192" customFormat="1" ht="12">
      <c r="B32" s="208"/>
      <c r="C32" s="208"/>
      <c r="D32" s="208"/>
      <c r="E32" s="208"/>
      <c r="F32" s="208"/>
      <c r="G32" s="208"/>
      <c r="H32" s="208"/>
      <c r="I32" s="209"/>
      <c r="J32" s="209"/>
      <c r="K32" s="209"/>
      <c r="L32" s="209"/>
      <c r="M32" s="209"/>
      <c r="N32" s="210"/>
      <c r="O32" s="208"/>
      <c r="P32" s="208"/>
      <c r="Q32" s="208"/>
      <c r="R32" s="208"/>
      <c r="S32" s="211"/>
      <c r="T32" s="208"/>
      <c r="U32" s="208"/>
      <c r="V32" s="208"/>
      <c r="W32" s="208"/>
      <c r="X32" s="208"/>
      <c r="Y32" s="208"/>
      <c r="Z32" s="208"/>
    </row>
    <row r="33" spans="2:26" s="192" customFormat="1" ht="12">
      <c r="B33" s="208"/>
      <c r="C33" s="208"/>
      <c r="D33" s="208"/>
      <c r="E33" s="208"/>
      <c r="F33" s="208"/>
      <c r="G33" s="208"/>
      <c r="H33" s="208"/>
      <c r="I33" s="209"/>
      <c r="J33" s="209"/>
      <c r="K33" s="209"/>
      <c r="L33" s="209"/>
      <c r="M33" s="209"/>
      <c r="N33" s="209"/>
      <c r="O33" s="208"/>
      <c r="P33" s="208"/>
      <c r="Q33" s="208"/>
      <c r="R33" s="208"/>
      <c r="S33" s="211"/>
      <c r="T33" s="208"/>
      <c r="U33" s="208"/>
      <c r="V33" s="208"/>
      <c r="W33" s="208"/>
      <c r="X33" s="208"/>
      <c r="Y33" s="208"/>
      <c r="Z33" s="208"/>
    </row>
    <row r="34" spans="2:26" s="192" customFormat="1" ht="12">
      <c r="B34" s="208"/>
      <c r="C34" s="208"/>
      <c r="D34" s="208"/>
      <c r="E34" s="208"/>
      <c r="F34" s="208"/>
      <c r="G34" s="208"/>
      <c r="H34" s="208"/>
      <c r="I34" s="209"/>
      <c r="J34" s="209"/>
      <c r="K34" s="209"/>
      <c r="L34" s="209"/>
      <c r="M34" s="209"/>
      <c r="N34" s="209"/>
      <c r="O34" s="208"/>
      <c r="P34" s="208"/>
      <c r="Q34" s="208"/>
      <c r="R34" s="208"/>
      <c r="S34" s="211"/>
      <c r="T34" s="208"/>
      <c r="U34" s="208"/>
      <c r="V34" s="208"/>
      <c r="W34" s="208"/>
      <c r="X34" s="208"/>
      <c r="Y34" s="208"/>
      <c r="Z34" s="208"/>
    </row>
    <row r="35" spans="2:26" s="192" customFormat="1" ht="12">
      <c r="B35" s="208"/>
      <c r="C35" s="208"/>
      <c r="D35" s="208"/>
      <c r="E35" s="208"/>
      <c r="F35" s="208"/>
      <c r="G35" s="208"/>
      <c r="H35" s="208"/>
      <c r="I35" s="209"/>
      <c r="J35" s="209"/>
      <c r="K35" s="209"/>
      <c r="L35" s="209"/>
      <c r="M35" s="209"/>
      <c r="N35" s="209"/>
      <c r="O35" s="208"/>
      <c r="P35" s="208"/>
      <c r="Q35" s="208"/>
      <c r="R35" s="208"/>
      <c r="S35" s="211"/>
      <c r="T35" s="208"/>
      <c r="U35" s="208"/>
      <c r="V35" s="208"/>
      <c r="W35" s="208"/>
      <c r="X35" s="208"/>
      <c r="Y35" s="208"/>
      <c r="Z35" s="208"/>
    </row>
    <row r="36" spans="2:26" s="192" customFormat="1" ht="12">
      <c r="B36" s="208"/>
      <c r="C36" s="208"/>
      <c r="D36" s="208"/>
      <c r="E36" s="208"/>
      <c r="F36" s="208"/>
      <c r="G36" s="208"/>
      <c r="H36" s="208"/>
      <c r="I36" s="209"/>
      <c r="J36" s="209"/>
      <c r="K36" s="209"/>
      <c r="L36" s="209"/>
      <c r="M36" s="209"/>
      <c r="N36" s="209"/>
      <c r="O36" s="208"/>
      <c r="P36" s="208"/>
      <c r="Q36" s="208"/>
      <c r="R36" s="208"/>
      <c r="S36" s="211"/>
      <c r="T36" s="208"/>
      <c r="U36" s="208"/>
      <c r="V36" s="208"/>
      <c r="W36" s="208"/>
      <c r="X36" s="208"/>
      <c r="Y36" s="208"/>
      <c r="Z36" s="208"/>
    </row>
    <row r="37" spans="2:26" s="192" customFormat="1" ht="12">
      <c r="B37" s="208"/>
      <c r="C37" s="208"/>
      <c r="D37" s="208"/>
      <c r="E37" s="208"/>
      <c r="F37" s="208"/>
      <c r="G37" s="208"/>
      <c r="H37" s="208"/>
      <c r="I37" s="209"/>
      <c r="J37" s="209"/>
      <c r="K37" s="209"/>
      <c r="L37" s="209"/>
      <c r="M37" s="209"/>
      <c r="N37" s="209"/>
      <c r="O37" s="208"/>
      <c r="P37" s="208"/>
      <c r="Q37" s="208"/>
      <c r="R37" s="208"/>
      <c r="S37" s="211"/>
      <c r="T37" s="208"/>
      <c r="U37" s="208"/>
      <c r="V37" s="208"/>
      <c r="W37" s="208"/>
      <c r="X37" s="208"/>
      <c r="Y37" s="208"/>
      <c r="Z37" s="208"/>
    </row>
    <row r="38" spans="2:26" s="192" customFormat="1" ht="12">
      <c r="B38" s="208"/>
      <c r="C38" s="208"/>
      <c r="D38" s="208"/>
      <c r="E38" s="208"/>
      <c r="F38" s="208"/>
      <c r="G38" s="208"/>
      <c r="H38" s="208"/>
      <c r="I38" s="209"/>
      <c r="J38" s="209"/>
      <c r="K38" s="209"/>
      <c r="L38" s="209"/>
      <c r="M38" s="209"/>
      <c r="N38" s="209"/>
      <c r="O38" s="208"/>
      <c r="P38" s="208"/>
      <c r="Q38" s="208"/>
      <c r="R38" s="208"/>
      <c r="S38" s="211"/>
      <c r="T38" s="208"/>
      <c r="U38" s="208"/>
      <c r="V38" s="208"/>
      <c r="W38" s="208"/>
      <c r="X38" s="208"/>
      <c r="Y38" s="208"/>
      <c r="Z38" s="208"/>
    </row>
    <row r="39" spans="2:26" s="192" customFormat="1" ht="12">
      <c r="B39" s="208"/>
      <c r="C39" s="208"/>
      <c r="D39" s="208"/>
      <c r="E39" s="208"/>
      <c r="F39" s="208"/>
      <c r="G39" s="208"/>
      <c r="H39" s="208"/>
      <c r="I39" s="209"/>
      <c r="J39" s="209"/>
      <c r="K39" s="209"/>
      <c r="L39" s="209"/>
      <c r="M39" s="209"/>
      <c r="N39" s="209"/>
      <c r="O39" s="208"/>
      <c r="P39" s="208"/>
      <c r="Q39" s="208"/>
      <c r="R39" s="208"/>
      <c r="S39" s="211"/>
      <c r="T39" s="208"/>
      <c r="U39" s="208"/>
      <c r="V39" s="208"/>
      <c r="W39" s="208"/>
      <c r="X39" s="208"/>
      <c r="Y39" s="208"/>
      <c r="Z39" s="208"/>
    </row>
    <row r="40" spans="2:26" s="192" customFormat="1" ht="12">
      <c r="B40" s="208"/>
      <c r="C40" s="208"/>
      <c r="D40" s="208"/>
      <c r="E40" s="208"/>
      <c r="F40" s="208"/>
      <c r="G40" s="208"/>
      <c r="H40" s="208"/>
      <c r="I40" s="209"/>
      <c r="J40" s="209"/>
      <c r="K40" s="209"/>
      <c r="L40" s="209"/>
      <c r="M40" s="209"/>
      <c r="N40" s="209"/>
      <c r="O40" s="208"/>
      <c r="P40" s="208"/>
      <c r="Q40" s="208"/>
      <c r="R40" s="208"/>
      <c r="S40" s="211"/>
      <c r="T40" s="208"/>
      <c r="U40" s="208"/>
      <c r="V40" s="208"/>
      <c r="W40" s="208"/>
      <c r="X40" s="208"/>
      <c r="Y40" s="208"/>
      <c r="Z40" s="208"/>
    </row>
    <row r="41" spans="2:26" s="192" customFormat="1" ht="12">
      <c r="B41" s="208"/>
      <c r="C41" s="208"/>
      <c r="D41" s="208"/>
      <c r="E41" s="208"/>
      <c r="F41" s="208"/>
      <c r="G41" s="208"/>
      <c r="H41" s="208"/>
      <c r="I41" s="209"/>
      <c r="J41" s="209"/>
      <c r="K41" s="209"/>
      <c r="L41" s="209"/>
      <c r="M41" s="209"/>
      <c r="N41" s="209"/>
      <c r="O41" s="208"/>
      <c r="P41" s="208"/>
      <c r="Q41" s="208"/>
      <c r="R41" s="208"/>
      <c r="S41" s="211"/>
      <c r="T41" s="208"/>
      <c r="U41" s="208"/>
      <c r="V41" s="208"/>
      <c r="W41" s="208"/>
      <c r="X41" s="208"/>
      <c r="Y41" s="208"/>
      <c r="Z41" s="208"/>
    </row>
    <row r="42" spans="2:26" s="192" customFormat="1" ht="12">
      <c r="B42" s="208"/>
      <c r="C42" s="208"/>
      <c r="D42" s="208"/>
      <c r="E42" s="208"/>
      <c r="F42" s="208"/>
      <c r="G42" s="208"/>
      <c r="H42" s="208"/>
      <c r="I42" s="209"/>
      <c r="J42" s="209"/>
      <c r="K42" s="209"/>
      <c r="L42" s="209"/>
      <c r="M42" s="209"/>
      <c r="N42" s="209"/>
      <c r="O42" s="208"/>
      <c r="P42" s="208"/>
      <c r="Q42" s="208"/>
      <c r="R42" s="208"/>
      <c r="S42" s="211"/>
      <c r="T42" s="208"/>
      <c r="U42" s="208"/>
      <c r="V42" s="208"/>
      <c r="W42" s="208"/>
      <c r="X42" s="208"/>
      <c r="Y42" s="208"/>
      <c r="Z42" s="208"/>
    </row>
    <row r="43" spans="2:26" s="192" customFormat="1" ht="12">
      <c r="B43" s="208"/>
      <c r="C43" s="208"/>
      <c r="D43" s="208"/>
      <c r="E43" s="208"/>
      <c r="F43" s="208"/>
      <c r="G43" s="208"/>
      <c r="H43" s="208"/>
      <c r="I43" s="209"/>
      <c r="J43" s="209"/>
      <c r="K43" s="209"/>
      <c r="L43" s="209"/>
      <c r="M43" s="209"/>
      <c r="N43" s="209"/>
      <c r="O43" s="208"/>
      <c r="P43" s="208"/>
      <c r="Q43" s="208"/>
      <c r="R43" s="208"/>
      <c r="S43" s="211"/>
      <c r="T43" s="208"/>
      <c r="U43" s="208"/>
      <c r="V43" s="208"/>
      <c r="W43" s="208"/>
      <c r="X43" s="208"/>
      <c r="Y43" s="208"/>
      <c r="Z43" s="208"/>
    </row>
    <row r="44" spans="2:26" s="192" customFormat="1" ht="12">
      <c r="B44" s="208"/>
      <c r="C44" s="208"/>
      <c r="D44" s="208"/>
      <c r="E44" s="208"/>
      <c r="F44" s="208"/>
      <c r="G44" s="208"/>
      <c r="H44" s="208"/>
      <c r="I44" s="209"/>
      <c r="J44" s="209"/>
      <c r="K44" s="209"/>
      <c r="L44" s="209"/>
      <c r="M44" s="209"/>
      <c r="N44" s="209"/>
      <c r="O44" s="208"/>
      <c r="P44" s="208"/>
      <c r="Q44" s="208"/>
      <c r="R44" s="208"/>
      <c r="S44" s="211"/>
      <c r="T44" s="208"/>
      <c r="U44" s="208"/>
      <c r="V44" s="208"/>
      <c r="W44" s="208"/>
      <c r="X44" s="208"/>
      <c r="Y44" s="208"/>
      <c r="Z44" s="208"/>
    </row>
    <row r="45" spans="2:26" s="192" customFormat="1" ht="12">
      <c r="B45" s="208"/>
      <c r="C45" s="208"/>
      <c r="D45" s="208"/>
      <c r="E45" s="208"/>
      <c r="F45" s="208"/>
      <c r="G45" s="208"/>
      <c r="H45" s="208"/>
      <c r="I45" s="209"/>
      <c r="J45" s="209"/>
      <c r="K45" s="209"/>
      <c r="L45" s="209"/>
      <c r="M45" s="209"/>
      <c r="N45" s="209"/>
      <c r="O45" s="208"/>
      <c r="P45" s="208"/>
      <c r="Q45" s="208"/>
      <c r="R45" s="208"/>
      <c r="S45" s="211"/>
      <c r="T45" s="208"/>
      <c r="U45" s="208"/>
      <c r="V45" s="208"/>
      <c r="W45" s="208"/>
      <c r="X45" s="208"/>
      <c r="Y45" s="208"/>
      <c r="Z45" s="208"/>
    </row>
    <row r="46" spans="2:26" s="192" customFormat="1" ht="12">
      <c r="B46" s="208"/>
      <c r="C46" s="208"/>
      <c r="D46" s="208"/>
      <c r="E46" s="208"/>
      <c r="F46" s="208"/>
      <c r="G46" s="208"/>
      <c r="H46" s="208"/>
      <c r="I46" s="209"/>
      <c r="J46" s="209"/>
      <c r="K46" s="209"/>
      <c r="L46" s="209"/>
      <c r="M46" s="209"/>
      <c r="N46" s="209"/>
      <c r="O46" s="208"/>
      <c r="P46" s="208"/>
      <c r="Q46" s="208"/>
      <c r="R46" s="208"/>
      <c r="S46" s="211"/>
      <c r="T46" s="208"/>
      <c r="U46" s="208"/>
      <c r="V46" s="208"/>
      <c r="W46" s="208"/>
      <c r="X46" s="208"/>
      <c r="Y46" s="208"/>
      <c r="Z46" s="208"/>
    </row>
    <row r="47" spans="2:26" s="192" customFormat="1" ht="12">
      <c r="B47" s="208"/>
      <c r="C47" s="208"/>
      <c r="D47" s="208"/>
      <c r="E47" s="208"/>
      <c r="F47" s="208"/>
      <c r="G47" s="208"/>
      <c r="H47" s="208"/>
      <c r="I47" s="209"/>
      <c r="J47" s="209"/>
      <c r="K47" s="209"/>
      <c r="L47" s="209"/>
      <c r="M47" s="209"/>
      <c r="N47" s="209"/>
      <c r="O47" s="208"/>
      <c r="P47" s="208"/>
      <c r="Q47" s="208"/>
      <c r="R47" s="208"/>
      <c r="S47" s="211"/>
      <c r="T47" s="208"/>
      <c r="U47" s="208"/>
      <c r="V47" s="208"/>
      <c r="W47" s="208"/>
      <c r="X47" s="208"/>
      <c r="Y47" s="208"/>
      <c r="Z47" s="208"/>
    </row>
    <row r="48" spans="2:26" s="192" customFormat="1" ht="12">
      <c r="B48" s="208"/>
      <c r="C48" s="208"/>
      <c r="D48" s="208"/>
      <c r="E48" s="208"/>
      <c r="F48" s="208"/>
      <c r="G48" s="208"/>
      <c r="H48" s="208"/>
      <c r="I48" s="209"/>
      <c r="J48" s="209"/>
      <c r="K48" s="209"/>
      <c r="L48" s="209"/>
      <c r="M48" s="209"/>
      <c r="N48" s="209"/>
      <c r="O48" s="208"/>
      <c r="P48" s="208"/>
      <c r="Q48" s="208"/>
      <c r="R48" s="208"/>
      <c r="S48" s="211"/>
      <c r="T48" s="208"/>
      <c r="U48" s="208"/>
      <c r="V48" s="208"/>
      <c r="W48" s="208"/>
      <c r="X48" s="208"/>
      <c r="Y48" s="208"/>
      <c r="Z48" s="208"/>
    </row>
    <row r="49" spans="2:26" s="192" customFormat="1" ht="12">
      <c r="B49" s="208"/>
      <c r="C49" s="208"/>
      <c r="D49" s="208"/>
      <c r="E49" s="208"/>
      <c r="F49" s="208"/>
      <c r="G49" s="208"/>
      <c r="H49" s="208"/>
      <c r="I49" s="209"/>
      <c r="J49" s="209"/>
      <c r="K49" s="209"/>
      <c r="L49" s="209"/>
      <c r="M49" s="209"/>
      <c r="N49" s="209"/>
      <c r="O49" s="208"/>
      <c r="P49" s="208"/>
      <c r="Q49" s="208"/>
      <c r="R49" s="208"/>
      <c r="S49" s="211"/>
      <c r="T49" s="208"/>
      <c r="U49" s="208"/>
      <c r="V49" s="208"/>
      <c r="W49" s="208"/>
      <c r="X49" s="208"/>
      <c r="Y49" s="208"/>
      <c r="Z49" s="208"/>
    </row>
    <row r="50" spans="2:26" s="192" customFormat="1" ht="12">
      <c r="B50" s="208"/>
      <c r="C50" s="208"/>
      <c r="D50" s="208"/>
      <c r="E50" s="208"/>
      <c r="F50" s="208"/>
      <c r="G50" s="208"/>
      <c r="H50" s="208"/>
      <c r="I50" s="209"/>
      <c r="J50" s="209"/>
      <c r="K50" s="209"/>
      <c r="L50" s="209"/>
      <c r="M50" s="209"/>
      <c r="N50" s="209"/>
      <c r="O50" s="208"/>
      <c r="P50" s="208"/>
      <c r="Q50" s="208"/>
      <c r="R50" s="208"/>
      <c r="S50" s="211"/>
      <c r="T50" s="208"/>
      <c r="U50" s="208"/>
      <c r="V50" s="208"/>
      <c r="W50" s="208"/>
      <c r="X50" s="208"/>
      <c r="Y50" s="208"/>
      <c r="Z50" s="208"/>
    </row>
    <row r="51" spans="2:26" s="192" customFormat="1" ht="12">
      <c r="B51" s="208"/>
      <c r="C51" s="208"/>
      <c r="D51" s="208"/>
      <c r="E51" s="208"/>
      <c r="F51" s="208"/>
      <c r="G51" s="208"/>
      <c r="H51" s="208"/>
      <c r="I51" s="209"/>
      <c r="J51" s="209"/>
      <c r="K51" s="209"/>
      <c r="L51" s="209"/>
      <c r="M51" s="209"/>
      <c r="N51" s="209"/>
      <c r="O51" s="208"/>
      <c r="P51" s="208"/>
      <c r="Q51" s="208"/>
      <c r="R51" s="208"/>
      <c r="S51" s="211"/>
      <c r="T51" s="208"/>
      <c r="U51" s="208"/>
      <c r="V51" s="208"/>
      <c r="W51" s="208"/>
      <c r="X51" s="208"/>
      <c r="Y51" s="208"/>
      <c r="Z51" s="208"/>
    </row>
    <row r="52" spans="2:26" s="192" customFormat="1" ht="12">
      <c r="B52" s="208"/>
      <c r="C52" s="208"/>
      <c r="D52" s="208"/>
      <c r="E52" s="208"/>
      <c r="F52" s="208"/>
      <c r="G52" s="208"/>
      <c r="H52" s="208"/>
      <c r="I52" s="209"/>
      <c r="J52" s="209"/>
      <c r="K52" s="209"/>
      <c r="L52" s="209"/>
      <c r="M52" s="209"/>
      <c r="N52" s="209"/>
      <c r="O52" s="208"/>
      <c r="P52" s="208"/>
      <c r="Q52" s="208"/>
      <c r="R52" s="208"/>
      <c r="S52" s="211"/>
      <c r="T52" s="208"/>
      <c r="U52" s="208"/>
      <c r="V52" s="208"/>
      <c r="W52" s="208"/>
      <c r="X52" s="208"/>
      <c r="Y52" s="208"/>
      <c r="Z52" s="208"/>
    </row>
    <row r="53" spans="2:26" s="192" customFormat="1" ht="12">
      <c r="B53" s="208"/>
      <c r="C53" s="208"/>
      <c r="D53" s="208"/>
      <c r="E53" s="208"/>
      <c r="F53" s="208"/>
      <c r="G53" s="208"/>
      <c r="H53" s="208"/>
      <c r="I53" s="209"/>
      <c r="J53" s="209"/>
      <c r="K53" s="209"/>
      <c r="L53" s="209"/>
      <c r="M53" s="209"/>
      <c r="N53" s="209"/>
      <c r="O53" s="208"/>
      <c r="P53" s="208"/>
      <c r="Q53" s="208"/>
      <c r="R53" s="208"/>
      <c r="S53" s="211"/>
      <c r="T53" s="208"/>
      <c r="U53" s="208"/>
      <c r="V53" s="208"/>
      <c r="W53" s="208"/>
      <c r="X53" s="208"/>
      <c r="Y53" s="208"/>
      <c r="Z53" s="208"/>
    </row>
    <row r="54" spans="2:26" s="192" customFormat="1" ht="12">
      <c r="B54" s="208"/>
      <c r="C54" s="208"/>
      <c r="D54" s="208"/>
      <c r="E54" s="208"/>
      <c r="F54" s="208"/>
      <c r="G54" s="208"/>
      <c r="H54" s="208"/>
      <c r="I54" s="209"/>
      <c r="J54" s="209"/>
      <c r="K54" s="209"/>
      <c r="L54" s="209"/>
      <c r="M54" s="209"/>
      <c r="N54" s="209"/>
      <c r="O54" s="208"/>
      <c r="P54" s="208"/>
      <c r="Q54" s="208"/>
      <c r="R54" s="208"/>
      <c r="S54" s="211"/>
      <c r="T54" s="208"/>
      <c r="U54" s="208"/>
      <c r="V54" s="208"/>
      <c r="W54" s="208"/>
      <c r="X54" s="208"/>
      <c r="Y54" s="208"/>
      <c r="Z54" s="208"/>
    </row>
    <row r="55" spans="2:26" s="192" customFormat="1" ht="12">
      <c r="B55" s="208"/>
      <c r="C55" s="208"/>
      <c r="D55" s="208"/>
      <c r="E55" s="208"/>
      <c r="F55" s="208"/>
      <c r="G55" s="208"/>
      <c r="H55" s="208"/>
      <c r="I55" s="209"/>
      <c r="J55" s="209"/>
      <c r="K55" s="209"/>
      <c r="L55" s="209"/>
      <c r="M55" s="209"/>
      <c r="N55" s="209"/>
      <c r="O55" s="208"/>
      <c r="P55" s="208"/>
      <c r="Q55" s="208"/>
      <c r="R55" s="208"/>
      <c r="S55" s="211"/>
      <c r="T55" s="208"/>
      <c r="U55" s="208"/>
      <c r="V55" s="208"/>
      <c r="W55" s="208"/>
      <c r="X55" s="208"/>
      <c r="Y55" s="208"/>
      <c r="Z55" s="208"/>
    </row>
    <row r="56" spans="2:26" s="192" customFormat="1" ht="12">
      <c r="B56" s="208"/>
      <c r="C56" s="208"/>
      <c r="D56" s="208"/>
      <c r="E56" s="208"/>
      <c r="F56" s="208"/>
      <c r="G56" s="208"/>
      <c r="H56" s="208"/>
      <c r="I56" s="209"/>
      <c r="J56" s="209"/>
      <c r="K56" s="209"/>
      <c r="L56" s="209"/>
      <c r="M56" s="209"/>
      <c r="N56" s="209"/>
      <c r="O56" s="208"/>
      <c r="P56" s="208"/>
      <c r="Q56" s="208"/>
      <c r="R56" s="208"/>
      <c r="S56" s="211"/>
      <c r="T56" s="208"/>
      <c r="U56" s="208"/>
      <c r="V56" s="208"/>
      <c r="W56" s="208"/>
      <c r="X56" s="208"/>
      <c r="Y56" s="208"/>
      <c r="Z56" s="208"/>
    </row>
    <row r="57" spans="2:26" s="192" customFormat="1" ht="12">
      <c r="B57" s="208"/>
      <c r="C57" s="208"/>
      <c r="D57" s="208"/>
      <c r="E57" s="208"/>
      <c r="F57" s="208"/>
      <c r="G57" s="208"/>
      <c r="H57" s="208"/>
      <c r="I57" s="209"/>
      <c r="J57" s="209"/>
      <c r="K57" s="209"/>
      <c r="L57" s="209"/>
      <c r="M57" s="209"/>
      <c r="N57" s="209"/>
      <c r="O57" s="208"/>
      <c r="P57" s="208"/>
      <c r="Q57" s="208"/>
      <c r="R57" s="208"/>
      <c r="S57" s="211"/>
      <c r="T57" s="208"/>
      <c r="U57" s="208"/>
      <c r="V57" s="208"/>
      <c r="W57" s="208"/>
      <c r="X57" s="208"/>
      <c r="Y57" s="208"/>
      <c r="Z57" s="208"/>
    </row>
    <row r="58" spans="2:26" s="192" customFormat="1" ht="12">
      <c r="B58" s="208"/>
      <c r="C58" s="208"/>
      <c r="D58" s="208"/>
      <c r="E58" s="208"/>
      <c r="F58" s="208"/>
      <c r="G58" s="208"/>
      <c r="H58" s="208"/>
      <c r="I58" s="209"/>
      <c r="J58" s="209"/>
      <c r="K58" s="209"/>
      <c r="L58" s="209"/>
      <c r="M58" s="209"/>
      <c r="N58" s="209"/>
      <c r="O58" s="208"/>
      <c r="P58" s="208"/>
      <c r="Q58" s="208"/>
      <c r="R58" s="208"/>
      <c r="S58" s="211"/>
      <c r="T58" s="208"/>
      <c r="U58" s="208"/>
      <c r="V58" s="208"/>
      <c r="W58" s="208"/>
      <c r="X58" s="208"/>
      <c r="Y58" s="208"/>
      <c r="Z58" s="208"/>
    </row>
    <row r="59" spans="2:26" s="192" customFormat="1" ht="12">
      <c r="B59" s="208"/>
      <c r="C59" s="208"/>
      <c r="D59" s="208"/>
      <c r="E59" s="208"/>
      <c r="F59" s="208"/>
      <c r="G59" s="208"/>
      <c r="H59" s="208"/>
      <c r="I59" s="209"/>
      <c r="J59" s="209"/>
      <c r="K59" s="209"/>
      <c r="L59" s="209"/>
      <c r="M59" s="209"/>
      <c r="N59" s="209"/>
      <c r="O59" s="208"/>
      <c r="P59" s="208"/>
      <c r="Q59" s="208"/>
      <c r="R59" s="208"/>
      <c r="S59" s="211"/>
      <c r="T59" s="208"/>
      <c r="U59" s="208"/>
      <c r="V59" s="208"/>
      <c r="W59" s="208"/>
      <c r="X59" s="208"/>
      <c r="Y59" s="208"/>
      <c r="Z59" s="208"/>
    </row>
    <row r="60" spans="2:26" s="192" customFormat="1" ht="12">
      <c r="B60" s="208"/>
      <c r="C60" s="208"/>
      <c r="D60" s="208"/>
      <c r="E60" s="208"/>
      <c r="F60" s="208"/>
      <c r="G60" s="208"/>
      <c r="H60" s="208"/>
      <c r="I60" s="209"/>
      <c r="J60" s="209"/>
      <c r="K60" s="209"/>
      <c r="L60" s="209"/>
      <c r="M60" s="209"/>
      <c r="N60" s="209"/>
      <c r="O60" s="208"/>
      <c r="P60" s="208"/>
      <c r="Q60" s="208"/>
      <c r="R60" s="208"/>
      <c r="S60" s="211"/>
      <c r="T60" s="208"/>
      <c r="U60" s="208"/>
      <c r="V60" s="208"/>
      <c r="W60" s="208"/>
      <c r="X60" s="208"/>
      <c r="Y60" s="208"/>
      <c r="Z60" s="208"/>
    </row>
    <row r="61" spans="2:26" s="192" customFormat="1" ht="12">
      <c r="B61" s="208"/>
      <c r="C61" s="208"/>
      <c r="D61" s="208"/>
      <c r="E61" s="208"/>
      <c r="F61" s="208"/>
      <c r="G61" s="208"/>
      <c r="H61" s="208"/>
      <c r="I61" s="209"/>
      <c r="J61" s="209"/>
      <c r="K61" s="209"/>
      <c r="L61" s="209"/>
      <c r="M61" s="209"/>
      <c r="N61" s="209"/>
      <c r="O61" s="208"/>
      <c r="P61" s="208"/>
      <c r="Q61" s="208"/>
      <c r="R61" s="208"/>
      <c r="S61" s="211"/>
      <c r="T61" s="208"/>
      <c r="U61" s="208"/>
      <c r="V61" s="208"/>
      <c r="W61" s="208"/>
      <c r="X61" s="208"/>
      <c r="Y61" s="208"/>
      <c r="Z61" s="208"/>
    </row>
    <row r="62" spans="2:26" s="192" customFormat="1" ht="12">
      <c r="B62" s="208"/>
      <c r="C62" s="208"/>
      <c r="D62" s="208"/>
      <c r="E62" s="208"/>
      <c r="F62" s="208"/>
      <c r="G62" s="208"/>
      <c r="H62" s="208"/>
      <c r="I62" s="209"/>
      <c r="J62" s="209"/>
      <c r="K62" s="209"/>
      <c r="L62" s="209"/>
      <c r="M62" s="209"/>
      <c r="N62" s="209"/>
      <c r="O62" s="208"/>
      <c r="P62" s="208"/>
      <c r="Q62" s="208"/>
      <c r="R62" s="208"/>
      <c r="S62" s="211"/>
      <c r="T62" s="208"/>
      <c r="U62" s="208"/>
      <c r="V62" s="208"/>
      <c r="W62" s="208"/>
      <c r="X62" s="208"/>
      <c r="Y62" s="208"/>
      <c r="Z62" s="208"/>
    </row>
    <row r="63" spans="2:26" s="192" customFormat="1" ht="12">
      <c r="B63" s="208"/>
      <c r="C63" s="208"/>
      <c r="D63" s="208"/>
      <c r="E63" s="208"/>
      <c r="F63" s="208"/>
      <c r="G63" s="208"/>
      <c r="H63" s="208"/>
      <c r="I63" s="209"/>
      <c r="J63" s="209"/>
      <c r="K63" s="209"/>
      <c r="L63" s="209"/>
      <c r="M63" s="209"/>
      <c r="N63" s="209"/>
      <c r="O63" s="208"/>
      <c r="P63" s="208"/>
      <c r="Q63" s="208"/>
      <c r="R63" s="208"/>
      <c r="S63" s="211"/>
      <c r="T63" s="208"/>
      <c r="U63" s="208"/>
      <c r="V63" s="208"/>
      <c r="W63" s="208"/>
      <c r="X63" s="208"/>
      <c r="Y63" s="208"/>
      <c r="Z63" s="208"/>
    </row>
    <row r="64" spans="2:26" s="192" customFormat="1" ht="12">
      <c r="B64" s="208"/>
      <c r="C64" s="208"/>
      <c r="D64" s="208"/>
      <c r="E64" s="208"/>
      <c r="F64" s="208"/>
      <c r="G64" s="208"/>
      <c r="H64" s="208"/>
      <c r="I64" s="209"/>
      <c r="J64" s="209"/>
      <c r="K64" s="209"/>
      <c r="L64" s="209"/>
      <c r="M64" s="209"/>
      <c r="N64" s="209"/>
      <c r="O64" s="208"/>
      <c r="P64" s="208"/>
      <c r="Q64" s="208"/>
      <c r="R64" s="208"/>
      <c r="S64" s="211"/>
      <c r="T64" s="208"/>
      <c r="U64" s="208"/>
      <c r="V64" s="208"/>
      <c r="W64" s="208"/>
      <c r="X64" s="208"/>
      <c r="Y64" s="208"/>
      <c r="Z64" s="208"/>
    </row>
    <row r="65" spans="2:26" s="192" customFormat="1" ht="12">
      <c r="B65" s="208"/>
      <c r="C65" s="208"/>
      <c r="D65" s="208"/>
      <c r="E65" s="208"/>
      <c r="F65" s="208"/>
      <c r="G65" s="208"/>
      <c r="H65" s="208"/>
      <c r="I65" s="209"/>
      <c r="J65" s="209"/>
      <c r="K65" s="209"/>
      <c r="L65" s="209"/>
      <c r="M65" s="209"/>
      <c r="N65" s="209"/>
      <c r="O65" s="208"/>
      <c r="P65" s="208"/>
      <c r="Q65" s="208"/>
      <c r="R65" s="208"/>
      <c r="S65" s="211"/>
      <c r="T65" s="208"/>
      <c r="U65" s="208"/>
      <c r="V65" s="208"/>
      <c r="W65" s="208"/>
      <c r="X65" s="208"/>
      <c r="Y65" s="208"/>
      <c r="Z65" s="208"/>
    </row>
    <row r="66" spans="2:26" s="192" customFormat="1" ht="12">
      <c r="B66" s="208"/>
      <c r="C66" s="208"/>
      <c r="D66" s="208"/>
      <c r="E66" s="208"/>
      <c r="F66" s="208"/>
      <c r="G66" s="208"/>
      <c r="H66" s="208"/>
      <c r="I66" s="209"/>
      <c r="J66" s="209"/>
      <c r="K66" s="209"/>
      <c r="L66" s="209"/>
      <c r="M66" s="209"/>
      <c r="N66" s="209"/>
      <c r="O66" s="208"/>
      <c r="P66" s="208"/>
      <c r="Q66" s="208"/>
      <c r="R66" s="208"/>
      <c r="S66" s="211"/>
      <c r="T66" s="208"/>
      <c r="U66" s="208"/>
      <c r="V66" s="208"/>
      <c r="W66" s="208"/>
      <c r="X66" s="208"/>
      <c r="Y66" s="208"/>
      <c r="Z66" s="208"/>
    </row>
    <row r="67" spans="2:26" s="192" customFormat="1" ht="12">
      <c r="B67" s="208"/>
      <c r="C67" s="208"/>
      <c r="D67" s="208"/>
      <c r="E67" s="208"/>
      <c r="F67" s="208"/>
      <c r="G67" s="208"/>
      <c r="H67" s="208"/>
      <c r="I67" s="209"/>
      <c r="J67" s="209"/>
      <c r="K67" s="209"/>
      <c r="L67" s="209"/>
      <c r="M67" s="209"/>
      <c r="N67" s="209"/>
      <c r="O67" s="208"/>
      <c r="P67" s="208"/>
      <c r="Q67" s="208"/>
      <c r="R67" s="208"/>
      <c r="S67" s="211"/>
      <c r="T67" s="208"/>
      <c r="U67" s="208"/>
      <c r="V67" s="208"/>
      <c r="W67" s="208"/>
      <c r="X67" s="208"/>
      <c r="Y67" s="208"/>
      <c r="Z67" s="208"/>
    </row>
    <row r="68" spans="2:26" s="192" customFormat="1" ht="12">
      <c r="B68" s="208"/>
      <c r="C68" s="208"/>
      <c r="D68" s="208"/>
      <c r="E68" s="208"/>
      <c r="F68" s="208"/>
      <c r="G68" s="208"/>
      <c r="H68" s="208"/>
      <c r="I68" s="209"/>
      <c r="J68" s="209"/>
      <c r="K68" s="209"/>
      <c r="L68" s="209"/>
      <c r="M68" s="209"/>
      <c r="N68" s="209"/>
      <c r="O68" s="208"/>
      <c r="P68" s="208"/>
      <c r="Q68" s="208"/>
      <c r="R68" s="208"/>
      <c r="S68" s="211"/>
      <c r="T68" s="208"/>
      <c r="U68" s="208"/>
      <c r="V68" s="208"/>
      <c r="W68" s="208"/>
      <c r="X68" s="208"/>
      <c r="Y68" s="208"/>
      <c r="Z68" s="208"/>
    </row>
    <row r="69" spans="2:26" s="192" customFormat="1" ht="12">
      <c r="B69" s="208"/>
      <c r="C69" s="208"/>
      <c r="D69" s="208"/>
      <c r="E69" s="208"/>
      <c r="F69" s="208"/>
      <c r="G69" s="208"/>
      <c r="H69" s="208"/>
      <c r="I69" s="209"/>
      <c r="J69" s="209"/>
      <c r="K69" s="209"/>
      <c r="L69" s="209"/>
      <c r="M69" s="209"/>
      <c r="N69" s="209"/>
      <c r="O69" s="208"/>
      <c r="P69" s="208"/>
      <c r="Q69" s="208"/>
      <c r="R69" s="208"/>
      <c r="S69" s="211"/>
      <c r="T69" s="208"/>
      <c r="U69" s="208"/>
      <c r="V69" s="208"/>
      <c r="W69" s="208"/>
      <c r="X69" s="208"/>
      <c r="Y69" s="208"/>
      <c r="Z69" s="208"/>
    </row>
    <row r="70" spans="2:26" s="192" customFormat="1" ht="12">
      <c r="B70" s="208"/>
      <c r="C70" s="208"/>
      <c r="D70" s="208"/>
      <c r="E70" s="208"/>
      <c r="F70" s="208"/>
      <c r="G70" s="208"/>
      <c r="H70" s="208"/>
      <c r="I70" s="209"/>
      <c r="J70" s="209"/>
      <c r="K70" s="209"/>
      <c r="L70" s="209"/>
      <c r="M70" s="209"/>
      <c r="N70" s="209"/>
      <c r="O70" s="208"/>
      <c r="P70" s="208"/>
      <c r="Q70" s="208"/>
      <c r="R70" s="208"/>
      <c r="S70" s="211"/>
      <c r="T70" s="208"/>
      <c r="U70" s="208"/>
      <c r="V70" s="208"/>
      <c r="W70" s="208"/>
      <c r="X70" s="208"/>
      <c r="Y70" s="208"/>
      <c r="Z70" s="208"/>
    </row>
    <row r="71" spans="2:26" s="192" customFormat="1" ht="12">
      <c r="B71" s="208"/>
      <c r="C71" s="208"/>
      <c r="D71" s="208"/>
      <c r="E71" s="208"/>
      <c r="F71" s="208"/>
      <c r="G71" s="208"/>
      <c r="H71" s="208"/>
      <c r="I71" s="209"/>
      <c r="J71" s="209"/>
      <c r="K71" s="209"/>
      <c r="L71" s="209"/>
      <c r="M71" s="209"/>
      <c r="N71" s="209"/>
      <c r="O71" s="208"/>
      <c r="P71" s="208"/>
      <c r="Q71" s="208"/>
      <c r="R71" s="208"/>
      <c r="S71" s="211"/>
      <c r="T71" s="208"/>
      <c r="U71" s="208"/>
      <c r="V71" s="208"/>
      <c r="W71" s="208"/>
      <c r="X71" s="208"/>
      <c r="Y71" s="208"/>
      <c r="Z71" s="208"/>
    </row>
    <row r="72" spans="2:26" s="192" customFormat="1" ht="12">
      <c r="B72" s="208"/>
      <c r="C72" s="208"/>
      <c r="D72" s="208"/>
      <c r="E72" s="208"/>
      <c r="F72" s="208"/>
      <c r="G72" s="208"/>
      <c r="H72" s="208"/>
      <c r="I72" s="209"/>
      <c r="J72" s="209"/>
      <c r="K72" s="209"/>
      <c r="L72" s="209"/>
      <c r="M72" s="209"/>
      <c r="N72" s="209"/>
      <c r="O72" s="208"/>
      <c r="P72" s="208"/>
      <c r="Q72" s="208"/>
      <c r="R72" s="208"/>
      <c r="S72" s="211"/>
      <c r="T72" s="208"/>
      <c r="U72" s="208"/>
      <c r="V72" s="208"/>
      <c r="W72" s="208"/>
      <c r="X72" s="208"/>
      <c r="Y72" s="208"/>
      <c r="Z72" s="208"/>
    </row>
    <row r="73" spans="2:26" s="192" customFormat="1" ht="12">
      <c r="B73" s="208"/>
      <c r="C73" s="208"/>
      <c r="D73" s="208"/>
      <c r="E73" s="208"/>
      <c r="F73" s="208"/>
      <c r="G73" s="208"/>
      <c r="H73" s="208"/>
      <c r="I73" s="209"/>
      <c r="J73" s="209"/>
      <c r="K73" s="209"/>
      <c r="L73" s="209"/>
      <c r="M73" s="209"/>
      <c r="N73" s="209"/>
      <c r="O73" s="208"/>
      <c r="P73" s="208"/>
      <c r="Q73" s="208"/>
      <c r="R73" s="208"/>
      <c r="S73" s="211"/>
      <c r="T73" s="208"/>
      <c r="U73" s="208"/>
      <c r="V73" s="208"/>
      <c r="W73" s="208"/>
      <c r="X73" s="208"/>
      <c r="Y73" s="208"/>
      <c r="Z73" s="208"/>
    </row>
    <row r="74" spans="2:26" s="192" customFormat="1" ht="12">
      <c r="B74" s="208"/>
      <c r="C74" s="208"/>
      <c r="D74" s="208"/>
      <c r="E74" s="208"/>
      <c r="F74" s="208"/>
      <c r="G74" s="208"/>
      <c r="H74" s="208"/>
      <c r="I74" s="209"/>
      <c r="J74" s="209"/>
      <c r="K74" s="209"/>
      <c r="L74" s="209"/>
      <c r="M74" s="209"/>
      <c r="N74" s="209"/>
      <c r="O74" s="208"/>
      <c r="P74" s="208"/>
      <c r="Q74" s="208"/>
      <c r="R74" s="208"/>
      <c r="S74" s="211"/>
      <c r="T74" s="208"/>
      <c r="U74" s="208"/>
      <c r="V74" s="208"/>
      <c r="W74" s="208"/>
      <c r="X74" s="208"/>
      <c r="Y74" s="208"/>
      <c r="Z74" s="208"/>
    </row>
    <row r="75" spans="2:26" s="192" customFormat="1" ht="12">
      <c r="B75" s="208"/>
      <c r="C75" s="208"/>
      <c r="D75" s="208"/>
      <c r="E75" s="208"/>
      <c r="F75" s="208"/>
      <c r="G75" s="208"/>
      <c r="H75" s="208"/>
      <c r="I75" s="209"/>
      <c r="J75" s="209"/>
      <c r="K75" s="209"/>
      <c r="L75" s="209"/>
      <c r="M75" s="209"/>
      <c r="N75" s="209"/>
      <c r="O75" s="208"/>
      <c r="P75" s="208"/>
      <c r="Q75" s="208"/>
      <c r="R75" s="208"/>
      <c r="S75" s="211"/>
      <c r="T75" s="208"/>
      <c r="U75" s="208"/>
      <c r="V75" s="208"/>
      <c r="W75" s="208"/>
      <c r="X75" s="208"/>
      <c r="Y75" s="208"/>
      <c r="Z75" s="208"/>
    </row>
    <row r="76" spans="2:26" s="192" customFormat="1" ht="12">
      <c r="B76" s="208"/>
      <c r="C76" s="208"/>
      <c r="D76" s="208"/>
      <c r="E76" s="208"/>
      <c r="F76" s="208"/>
      <c r="G76" s="208"/>
      <c r="H76" s="208"/>
      <c r="I76" s="209"/>
      <c r="J76" s="209"/>
      <c r="K76" s="209"/>
      <c r="L76" s="209"/>
      <c r="M76" s="209"/>
      <c r="N76" s="209"/>
      <c r="O76" s="208"/>
      <c r="P76" s="208"/>
      <c r="Q76" s="208"/>
      <c r="R76" s="208"/>
      <c r="S76" s="211"/>
      <c r="T76" s="208"/>
      <c r="U76" s="208"/>
      <c r="V76" s="208"/>
      <c r="W76" s="208"/>
      <c r="X76" s="208"/>
      <c r="Y76" s="208"/>
      <c r="Z76" s="208"/>
    </row>
    <row r="77" spans="2:26" s="192" customFormat="1" ht="12">
      <c r="B77" s="208"/>
      <c r="C77" s="208"/>
      <c r="D77" s="208"/>
      <c r="E77" s="208"/>
      <c r="F77" s="208"/>
      <c r="G77" s="208"/>
      <c r="H77" s="208"/>
      <c r="I77" s="209"/>
      <c r="J77" s="209"/>
      <c r="K77" s="209"/>
      <c r="L77" s="209"/>
      <c r="M77" s="209"/>
      <c r="N77" s="209"/>
      <c r="O77" s="208"/>
      <c r="P77" s="208"/>
      <c r="Q77" s="208"/>
      <c r="R77" s="208"/>
      <c r="S77" s="211"/>
      <c r="T77" s="208"/>
      <c r="U77" s="208"/>
      <c r="V77" s="208"/>
      <c r="W77" s="208"/>
      <c r="X77" s="208"/>
      <c r="Y77" s="208"/>
      <c r="Z77" s="208"/>
    </row>
    <row r="78" spans="2:26" s="192" customFormat="1" ht="12">
      <c r="B78" s="208"/>
      <c r="C78" s="208"/>
      <c r="D78" s="208"/>
      <c r="E78" s="208"/>
      <c r="F78" s="208"/>
      <c r="G78" s="208"/>
      <c r="H78" s="208"/>
      <c r="I78" s="209"/>
      <c r="J78" s="209"/>
      <c r="K78" s="209"/>
      <c r="L78" s="209"/>
      <c r="M78" s="209"/>
      <c r="N78" s="209"/>
      <c r="O78" s="208"/>
      <c r="P78" s="208"/>
      <c r="Q78" s="208"/>
      <c r="R78" s="208"/>
      <c r="S78" s="211"/>
      <c r="T78" s="208"/>
      <c r="U78" s="208"/>
      <c r="V78" s="208"/>
      <c r="W78" s="208"/>
      <c r="X78" s="208"/>
      <c r="Y78" s="208"/>
      <c r="Z78" s="208"/>
    </row>
    <row r="79" spans="2:26" s="192" customFormat="1" ht="12">
      <c r="B79" s="208"/>
      <c r="C79" s="208"/>
      <c r="D79" s="208"/>
      <c r="E79" s="208"/>
      <c r="F79" s="208"/>
      <c r="G79" s="208"/>
      <c r="H79" s="208"/>
      <c r="I79" s="209"/>
      <c r="J79" s="209"/>
      <c r="K79" s="209"/>
      <c r="L79" s="209"/>
      <c r="M79" s="209"/>
      <c r="N79" s="209"/>
      <c r="O79" s="208"/>
      <c r="P79" s="208"/>
      <c r="Q79" s="208"/>
      <c r="R79" s="208"/>
      <c r="S79" s="211"/>
      <c r="T79" s="208"/>
      <c r="U79" s="208"/>
      <c r="V79" s="208"/>
      <c r="W79" s="208"/>
      <c r="X79" s="208"/>
      <c r="Y79" s="208"/>
      <c r="Z79" s="208"/>
    </row>
    <row r="80" spans="2:26" s="192" customFormat="1" ht="12">
      <c r="B80" s="208"/>
      <c r="C80" s="208"/>
      <c r="D80" s="208"/>
      <c r="E80" s="208"/>
      <c r="F80" s="208"/>
      <c r="G80" s="208"/>
      <c r="H80" s="208"/>
      <c r="I80" s="209"/>
      <c r="J80" s="209"/>
      <c r="K80" s="209"/>
      <c r="L80" s="209"/>
      <c r="M80" s="209"/>
      <c r="N80" s="209"/>
      <c r="O80" s="208"/>
      <c r="P80" s="208"/>
      <c r="Q80" s="208"/>
      <c r="R80" s="208"/>
      <c r="S80" s="211"/>
      <c r="T80" s="208"/>
      <c r="U80" s="208"/>
      <c r="V80" s="208"/>
      <c r="W80" s="208"/>
      <c r="X80" s="208"/>
      <c r="Y80" s="208"/>
      <c r="Z80" s="208"/>
    </row>
    <row r="81" spans="2:26" s="192" customFormat="1" ht="12">
      <c r="B81" s="208"/>
      <c r="C81" s="208"/>
      <c r="D81" s="208"/>
      <c r="E81" s="208"/>
      <c r="F81" s="208"/>
      <c r="G81" s="208"/>
      <c r="H81" s="208"/>
      <c r="I81" s="209"/>
      <c r="J81" s="209"/>
      <c r="K81" s="209"/>
      <c r="L81" s="209"/>
      <c r="M81" s="209"/>
      <c r="N81" s="209"/>
      <c r="O81" s="208"/>
      <c r="P81" s="208"/>
      <c r="Q81" s="208"/>
      <c r="R81" s="208"/>
      <c r="S81" s="211"/>
      <c r="T81" s="208"/>
      <c r="U81" s="208"/>
      <c r="V81" s="208"/>
      <c r="W81" s="208"/>
      <c r="X81" s="208"/>
      <c r="Y81" s="208"/>
      <c r="Z81" s="208"/>
    </row>
    <row r="82" spans="2:26" s="192" customFormat="1" ht="12">
      <c r="B82" s="208"/>
      <c r="C82" s="208"/>
      <c r="D82" s="208"/>
      <c r="E82" s="208"/>
      <c r="F82" s="208"/>
      <c r="G82" s="208"/>
      <c r="H82" s="208"/>
      <c r="I82" s="209"/>
      <c r="J82" s="209"/>
      <c r="K82" s="209"/>
      <c r="L82" s="209"/>
      <c r="M82" s="209"/>
      <c r="N82" s="209"/>
      <c r="O82" s="208"/>
      <c r="P82" s="208"/>
      <c r="Q82" s="208"/>
      <c r="R82" s="208"/>
      <c r="S82" s="211"/>
      <c r="T82" s="208"/>
      <c r="U82" s="208"/>
      <c r="V82" s="208"/>
      <c r="W82" s="208"/>
      <c r="X82" s="208"/>
      <c r="Y82" s="208"/>
      <c r="Z82" s="208"/>
    </row>
    <row r="83" spans="2:26" s="192" customFormat="1" ht="12">
      <c r="B83" s="208"/>
      <c r="C83" s="208"/>
      <c r="D83" s="208"/>
      <c r="E83" s="208"/>
      <c r="F83" s="208"/>
      <c r="G83" s="208"/>
      <c r="H83" s="208"/>
      <c r="I83" s="209"/>
      <c r="J83" s="209"/>
      <c r="K83" s="209"/>
      <c r="L83" s="209"/>
      <c r="M83" s="209"/>
      <c r="N83" s="209"/>
      <c r="O83" s="208"/>
      <c r="P83" s="208"/>
      <c r="Q83" s="208"/>
      <c r="R83" s="208"/>
      <c r="S83" s="211"/>
      <c r="T83" s="208"/>
      <c r="U83" s="208"/>
      <c r="V83" s="208"/>
      <c r="W83" s="208"/>
      <c r="X83" s="208"/>
      <c r="Y83" s="208"/>
      <c r="Z83" s="208"/>
    </row>
    <row r="84" spans="2:26" s="192" customFormat="1" ht="12">
      <c r="B84" s="208"/>
      <c r="C84" s="208"/>
      <c r="D84" s="208"/>
      <c r="E84" s="208"/>
      <c r="F84" s="208"/>
      <c r="G84" s="208"/>
      <c r="H84" s="208"/>
      <c r="I84" s="209"/>
      <c r="J84" s="209"/>
      <c r="K84" s="209"/>
      <c r="L84" s="209"/>
      <c r="M84" s="209"/>
      <c r="N84" s="209"/>
      <c r="O84" s="208"/>
      <c r="P84" s="208"/>
      <c r="Q84" s="208"/>
      <c r="R84" s="208"/>
      <c r="S84" s="211"/>
      <c r="T84" s="208"/>
      <c r="U84" s="208"/>
      <c r="V84" s="208"/>
      <c r="W84" s="208"/>
      <c r="X84" s="208"/>
      <c r="Y84" s="208"/>
      <c r="Z84" s="208"/>
    </row>
    <row r="85" spans="2:26" s="192" customFormat="1" ht="12">
      <c r="B85" s="208"/>
      <c r="C85" s="208"/>
      <c r="D85" s="208"/>
      <c r="E85" s="208"/>
      <c r="F85" s="208"/>
      <c r="G85" s="208"/>
      <c r="H85" s="208"/>
      <c r="I85" s="209"/>
      <c r="J85" s="209"/>
      <c r="K85" s="209"/>
      <c r="L85" s="209"/>
      <c r="M85" s="209"/>
      <c r="N85" s="209"/>
      <c r="O85" s="208"/>
      <c r="P85" s="208"/>
      <c r="Q85" s="208"/>
      <c r="R85" s="208"/>
      <c r="S85" s="211"/>
      <c r="T85" s="208"/>
      <c r="U85" s="208"/>
      <c r="V85" s="208"/>
      <c r="W85" s="208"/>
      <c r="X85" s="208"/>
      <c r="Y85" s="208"/>
      <c r="Z85" s="208"/>
    </row>
    <row r="86" spans="2:26" s="192" customFormat="1" ht="12">
      <c r="B86" s="208"/>
      <c r="C86" s="208"/>
      <c r="D86" s="208"/>
      <c r="E86" s="208"/>
      <c r="F86" s="208"/>
      <c r="G86" s="208"/>
      <c r="H86" s="208"/>
      <c r="I86" s="209"/>
      <c r="J86" s="209"/>
      <c r="K86" s="209"/>
      <c r="L86" s="209"/>
      <c r="M86" s="209"/>
      <c r="N86" s="209"/>
      <c r="O86" s="208"/>
      <c r="P86" s="208"/>
      <c r="Q86" s="208"/>
      <c r="R86" s="208"/>
      <c r="S86" s="211"/>
      <c r="T86" s="208"/>
      <c r="U86" s="208"/>
      <c r="V86" s="208"/>
      <c r="W86" s="208"/>
      <c r="X86" s="208"/>
      <c r="Y86" s="208"/>
      <c r="Z86" s="208"/>
    </row>
    <row r="87" spans="2:26" s="192" customFormat="1" ht="12">
      <c r="B87" s="208"/>
      <c r="C87" s="208"/>
      <c r="D87" s="208"/>
      <c r="E87" s="208"/>
      <c r="F87" s="208"/>
      <c r="G87" s="208"/>
      <c r="H87" s="208"/>
      <c r="I87" s="209"/>
      <c r="J87" s="209"/>
      <c r="K87" s="209"/>
      <c r="L87" s="209"/>
      <c r="M87" s="209"/>
      <c r="N87" s="209"/>
      <c r="O87" s="208"/>
      <c r="P87" s="208"/>
      <c r="Q87" s="208"/>
      <c r="R87" s="208"/>
      <c r="S87" s="211"/>
      <c r="T87" s="208"/>
      <c r="U87" s="208"/>
      <c r="V87" s="208"/>
      <c r="W87" s="208"/>
      <c r="X87" s="208"/>
      <c r="Y87" s="208"/>
      <c r="Z87" s="208"/>
    </row>
    <row r="88" spans="2:26" s="192" customFormat="1" ht="12">
      <c r="B88" s="208"/>
      <c r="C88" s="208"/>
      <c r="D88" s="208"/>
      <c r="E88" s="208"/>
      <c r="F88" s="208"/>
      <c r="G88" s="208"/>
      <c r="H88" s="208"/>
      <c r="I88" s="209"/>
      <c r="J88" s="209"/>
      <c r="K88" s="209"/>
      <c r="L88" s="209"/>
      <c r="M88" s="209"/>
      <c r="N88" s="209"/>
      <c r="O88" s="208"/>
      <c r="P88" s="208"/>
      <c r="Q88" s="208"/>
      <c r="R88" s="208"/>
      <c r="S88" s="211"/>
      <c r="T88" s="208"/>
      <c r="U88" s="208"/>
      <c r="V88" s="208"/>
      <c r="W88" s="208"/>
      <c r="X88" s="208"/>
      <c r="Y88" s="208"/>
      <c r="Z88" s="208"/>
    </row>
    <row r="89" spans="2:26" s="192" customFormat="1" ht="12">
      <c r="B89" s="208"/>
      <c r="C89" s="208"/>
      <c r="D89" s="208"/>
      <c r="E89" s="208"/>
      <c r="F89" s="208"/>
      <c r="G89" s="208"/>
      <c r="H89" s="208"/>
      <c r="I89" s="209"/>
      <c r="J89" s="209"/>
      <c r="K89" s="209"/>
      <c r="L89" s="209"/>
      <c r="M89" s="209"/>
      <c r="N89" s="209"/>
      <c r="O89" s="208"/>
      <c r="P89" s="208"/>
      <c r="Q89" s="208"/>
      <c r="R89" s="208"/>
      <c r="S89" s="211"/>
      <c r="T89" s="208"/>
      <c r="U89" s="208"/>
      <c r="V89" s="208"/>
      <c r="W89" s="208"/>
      <c r="X89" s="208"/>
      <c r="Y89" s="208"/>
      <c r="Z89" s="208"/>
    </row>
    <row r="90" spans="2:26" s="192" customFormat="1" ht="12">
      <c r="B90" s="208"/>
      <c r="C90" s="208"/>
      <c r="D90" s="208"/>
      <c r="E90" s="208"/>
      <c r="F90" s="208"/>
      <c r="G90" s="208"/>
      <c r="H90" s="208"/>
      <c r="I90" s="209"/>
      <c r="J90" s="209"/>
      <c r="K90" s="209"/>
      <c r="L90" s="209"/>
      <c r="M90" s="209"/>
      <c r="N90" s="209"/>
      <c r="O90" s="208"/>
      <c r="P90" s="208"/>
      <c r="Q90" s="208"/>
      <c r="R90" s="208"/>
      <c r="S90" s="211"/>
      <c r="T90" s="208"/>
      <c r="U90" s="208"/>
      <c r="V90" s="208"/>
      <c r="W90" s="208"/>
      <c r="X90" s="208"/>
      <c r="Y90" s="208"/>
      <c r="Z90" s="208"/>
    </row>
    <row r="91" spans="2:26" s="192" customFormat="1" ht="12">
      <c r="B91" s="208"/>
      <c r="C91" s="208"/>
      <c r="D91" s="208"/>
      <c r="E91" s="208"/>
      <c r="F91" s="208"/>
      <c r="G91" s="208"/>
      <c r="H91" s="208"/>
      <c r="I91" s="209"/>
      <c r="J91" s="209"/>
      <c r="K91" s="209"/>
      <c r="L91" s="209"/>
      <c r="M91" s="209"/>
      <c r="N91" s="209"/>
      <c r="O91" s="208"/>
      <c r="P91" s="208"/>
      <c r="Q91" s="208"/>
      <c r="R91" s="208"/>
      <c r="S91" s="211"/>
      <c r="T91" s="208"/>
      <c r="U91" s="208"/>
      <c r="V91" s="208"/>
      <c r="W91" s="208"/>
      <c r="X91" s="208"/>
      <c r="Y91" s="208"/>
      <c r="Z91" s="208"/>
    </row>
    <row r="92" spans="2:26" s="192" customFormat="1" ht="12">
      <c r="B92" s="208"/>
      <c r="C92" s="208"/>
      <c r="D92" s="208"/>
      <c r="E92" s="208"/>
      <c r="F92" s="208"/>
      <c r="G92" s="208"/>
      <c r="H92" s="208"/>
      <c r="I92" s="209"/>
      <c r="J92" s="209"/>
      <c r="K92" s="209"/>
      <c r="L92" s="209"/>
      <c r="M92" s="209"/>
      <c r="N92" s="209"/>
      <c r="O92" s="208"/>
      <c r="P92" s="208"/>
      <c r="Q92" s="208"/>
      <c r="R92" s="208"/>
      <c r="S92" s="211"/>
      <c r="T92" s="208"/>
      <c r="U92" s="208"/>
      <c r="V92" s="208"/>
      <c r="W92" s="208"/>
      <c r="X92" s="208"/>
      <c r="Y92" s="208"/>
      <c r="Z92" s="208"/>
    </row>
    <row r="93" spans="2:26" s="192" customFormat="1" ht="12">
      <c r="B93" s="208"/>
      <c r="C93" s="208"/>
      <c r="D93" s="208"/>
      <c r="E93" s="208"/>
      <c r="F93" s="208"/>
      <c r="G93" s="208"/>
      <c r="H93" s="208"/>
      <c r="I93" s="209"/>
      <c r="J93" s="209"/>
      <c r="K93" s="209"/>
      <c r="L93" s="209"/>
      <c r="M93" s="209"/>
      <c r="N93" s="209"/>
      <c r="O93" s="208"/>
      <c r="P93" s="208"/>
      <c r="Q93" s="208"/>
      <c r="R93" s="208"/>
      <c r="S93" s="211"/>
      <c r="T93" s="208"/>
      <c r="U93" s="208"/>
      <c r="V93" s="208"/>
      <c r="W93" s="208"/>
      <c r="X93" s="208"/>
      <c r="Y93" s="208"/>
      <c r="Z93" s="208"/>
    </row>
    <row r="94" spans="2:26" s="192" customFormat="1" ht="12">
      <c r="B94" s="208"/>
      <c r="C94" s="208"/>
      <c r="D94" s="208"/>
      <c r="E94" s="208"/>
      <c r="F94" s="208"/>
      <c r="G94" s="208"/>
      <c r="H94" s="208"/>
      <c r="I94" s="209"/>
      <c r="J94" s="209"/>
      <c r="K94" s="209"/>
      <c r="L94" s="209"/>
      <c r="M94" s="209"/>
      <c r="N94" s="209"/>
      <c r="O94" s="208"/>
      <c r="P94" s="208"/>
      <c r="Q94" s="208"/>
      <c r="R94" s="208"/>
      <c r="S94" s="211"/>
      <c r="T94" s="208"/>
      <c r="U94" s="208"/>
      <c r="V94" s="208"/>
      <c r="W94" s="208"/>
      <c r="X94" s="208"/>
      <c r="Y94" s="208"/>
      <c r="Z94" s="208"/>
    </row>
    <row r="95" spans="2:26" s="192" customFormat="1" ht="12">
      <c r="B95" s="208"/>
      <c r="C95" s="208"/>
      <c r="D95" s="208"/>
      <c r="E95" s="208"/>
      <c r="F95" s="208"/>
      <c r="G95" s="208"/>
      <c r="H95" s="208"/>
      <c r="I95" s="209"/>
      <c r="J95" s="209"/>
      <c r="K95" s="209"/>
      <c r="L95" s="209"/>
      <c r="M95" s="209"/>
      <c r="N95" s="209"/>
      <c r="O95" s="208"/>
      <c r="P95" s="208"/>
      <c r="Q95" s="208"/>
      <c r="R95" s="208"/>
      <c r="S95" s="211"/>
      <c r="T95" s="208"/>
      <c r="U95" s="208"/>
      <c r="V95" s="208"/>
      <c r="W95" s="208"/>
      <c r="X95" s="208"/>
      <c r="Y95" s="208"/>
      <c r="Z95" s="208"/>
    </row>
    <row r="96" spans="2:26" s="192" customFormat="1" ht="12">
      <c r="B96" s="208"/>
      <c r="C96" s="208"/>
      <c r="D96" s="208"/>
      <c r="E96" s="208"/>
      <c r="F96" s="208"/>
      <c r="G96" s="208"/>
      <c r="H96" s="208"/>
      <c r="I96" s="209"/>
      <c r="J96" s="209"/>
      <c r="K96" s="209"/>
      <c r="L96" s="209"/>
      <c r="M96" s="209"/>
      <c r="N96" s="209"/>
      <c r="O96" s="208"/>
      <c r="P96" s="208"/>
      <c r="Q96" s="208"/>
      <c r="R96" s="208"/>
      <c r="S96" s="211"/>
      <c r="T96" s="208"/>
      <c r="U96" s="208"/>
      <c r="V96" s="208"/>
      <c r="W96" s="208"/>
      <c r="X96" s="208"/>
      <c r="Y96" s="208"/>
      <c r="Z96" s="208"/>
    </row>
    <row r="97" spans="2:26" s="192" customFormat="1" ht="12">
      <c r="B97" s="208"/>
      <c r="C97" s="208"/>
      <c r="D97" s="208"/>
      <c r="E97" s="208"/>
      <c r="F97" s="208"/>
      <c r="G97" s="208"/>
      <c r="H97" s="208"/>
      <c r="I97" s="209"/>
      <c r="J97" s="209"/>
      <c r="K97" s="209"/>
      <c r="L97" s="209"/>
      <c r="M97" s="209"/>
      <c r="N97" s="209"/>
      <c r="O97" s="208"/>
      <c r="P97" s="208"/>
      <c r="Q97" s="208"/>
      <c r="R97" s="208"/>
      <c r="S97" s="211"/>
      <c r="T97" s="208"/>
      <c r="U97" s="208"/>
      <c r="V97" s="208"/>
      <c r="W97" s="208"/>
      <c r="X97" s="208"/>
      <c r="Y97" s="208"/>
      <c r="Z97" s="208"/>
    </row>
    <row r="98" spans="2:26" s="192" customFormat="1" ht="12">
      <c r="B98" s="208"/>
      <c r="C98" s="208"/>
      <c r="D98" s="208"/>
      <c r="E98" s="208"/>
      <c r="F98" s="208"/>
      <c r="G98" s="208"/>
      <c r="H98" s="208"/>
      <c r="I98" s="209"/>
      <c r="J98" s="209"/>
      <c r="K98" s="209"/>
      <c r="L98" s="209"/>
      <c r="M98" s="209"/>
      <c r="N98" s="209"/>
      <c r="O98" s="208"/>
      <c r="P98" s="208"/>
      <c r="Q98" s="208"/>
      <c r="R98" s="208"/>
      <c r="S98" s="211"/>
      <c r="T98" s="208"/>
      <c r="U98" s="208"/>
      <c r="V98" s="208"/>
      <c r="W98" s="208"/>
      <c r="X98" s="208"/>
      <c r="Y98" s="208"/>
      <c r="Z98" s="208"/>
    </row>
    <row r="99" spans="2:26" s="192" customFormat="1" ht="12">
      <c r="B99" s="208"/>
      <c r="C99" s="208"/>
      <c r="D99" s="208"/>
      <c r="E99" s="208"/>
      <c r="F99" s="208"/>
      <c r="G99" s="208"/>
      <c r="H99" s="208"/>
      <c r="I99" s="209"/>
      <c r="J99" s="209"/>
      <c r="K99" s="209"/>
      <c r="L99" s="209"/>
      <c r="M99" s="209"/>
      <c r="N99" s="209"/>
      <c r="O99" s="208"/>
      <c r="P99" s="208"/>
      <c r="Q99" s="208"/>
      <c r="R99" s="208"/>
      <c r="S99" s="211"/>
      <c r="T99" s="208"/>
      <c r="U99" s="208"/>
      <c r="V99" s="208"/>
      <c r="W99" s="208"/>
      <c r="X99" s="208"/>
      <c r="Y99" s="208"/>
      <c r="Z99" s="208"/>
    </row>
    <row r="100" spans="2:26" s="192" customFormat="1" ht="12">
      <c r="B100" s="208"/>
      <c r="C100" s="208"/>
      <c r="D100" s="208"/>
      <c r="E100" s="208"/>
      <c r="F100" s="208"/>
      <c r="G100" s="208"/>
      <c r="H100" s="208"/>
      <c r="I100" s="209"/>
      <c r="J100" s="209"/>
      <c r="K100" s="209"/>
      <c r="L100" s="209"/>
      <c r="M100" s="209"/>
      <c r="N100" s="209"/>
      <c r="O100" s="208"/>
      <c r="P100" s="208"/>
      <c r="Q100" s="208"/>
      <c r="R100" s="208"/>
      <c r="S100" s="211"/>
      <c r="T100" s="208"/>
      <c r="U100" s="208"/>
      <c r="V100" s="208"/>
      <c r="W100" s="208"/>
      <c r="X100" s="208"/>
      <c r="Y100" s="208"/>
      <c r="Z100" s="208"/>
    </row>
    <row r="101" spans="2:26" s="192" customFormat="1" ht="12">
      <c r="B101" s="208"/>
      <c r="C101" s="208"/>
      <c r="D101" s="208"/>
      <c r="E101" s="208"/>
      <c r="F101" s="208"/>
      <c r="G101" s="208"/>
      <c r="H101" s="208"/>
      <c r="I101" s="209"/>
      <c r="J101" s="209"/>
      <c r="K101" s="209"/>
      <c r="L101" s="209"/>
      <c r="M101" s="209"/>
      <c r="N101" s="209"/>
      <c r="O101" s="208"/>
      <c r="P101" s="208"/>
      <c r="Q101" s="208"/>
      <c r="R101" s="208"/>
      <c r="S101" s="211"/>
      <c r="T101" s="208"/>
      <c r="U101" s="208"/>
      <c r="V101" s="208"/>
      <c r="W101" s="208"/>
      <c r="X101" s="208"/>
      <c r="Y101" s="208"/>
      <c r="Z101" s="208"/>
    </row>
    <row r="102" spans="2:26" s="192" customFormat="1" ht="12">
      <c r="B102" s="208"/>
      <c r="C102" s="208"/>
      <c r="D102" s="208"/>
      <c r="E102" s="208"/>
      <c r="F102" s="208"/>
      <c r="G102" s="208"/>
      <c r="H102" s="208"/>
      <c r="I102" s="209"/>
      <c r="J102" s="209"/>
      <c r="K102" s="209"/>
      <c r="L102" s="209"/>
      <c r="M102" s="209"/>
      <c r="N102" s="209"/>
      <c r="O102" s="208"/>
      <c r="P102" s="208"/>
      <c r="Q102" s="208"/>
      <c r="R102" s="208"/>
      <c r="S102" s="211"/>
      <c r="T102" s="208"/>
      <c r="U102" s="208"/>
      <c r="V102" s="208"/>
      <c r="W102" s="208"/>
      <c r="X102" s="208"/>
      <c r="Y102" s="208"/>
      <c r="Z102" s="208"/>
    </row>
    <row r="103" spans="2:26" s="192" customFormat="1" ht="12">
      <c r="B103" s="208"/>
      <c r="C103" s="208"/>
      <c r="D103" s="208"/>
      <c r="E103" s="208"/>
      <c r="F103" s="208"/>
      <c r="G103" s="208"/>
      <c r="H103" s="208"/>
      <c r="I103" s="209"/>
      <c r="J103" s="209"/>
      <c r="K103" s="209"/>
      <c r="L103" s="209"/>
      <c r="M103" s="209"/>
      <c r="N103" s="209"/>
      <c r="O103" s="208"/>
      <c r="P103" s="208"/>
      <c r="Q103" s="208"/>
      <c r="R103" s="208"/>
      <c r="S103" s="211"/>
      <c r="T103" s="208"/>
      <c r="U103" s="208"/>
      <c r="V103" s="208"/>
      <c r="W103" s="208"/>
      <c r="X103" s="208"/>
      <c r="Y103" s="208"/>
      <c r="Z103" s="208"/>
    </row>
    <row r="104" spans="2:26" s="192" customFormat="1" ht="12">
      <c r="B104" s="208"/>
      <c r="C104" s="208"/>
      <c r="D104" s="208"/>
      <c r="E104" s="208"/>
      <c r="F104" s="208"/>
      <c r="G104" s="208"/>
      <c r="H104" s="208"/>
      <c r="I104" s="209"/>
      <c r="J104" s="209"/>
      <c r="K104" s="209"/>
      <c r="L104" s="209"/>
      <c r="M104" s="209"/>
      <c r="N104" s="209"/>
      <c r="O104" s="208"/>
      <c r="P104" s="208"/>
      <c r="Q104" s="208"/>
      <c r="R104" s="208"/>
      <c r="S104" s="211"/>
      <c r="T104" s="208"/>
      <c r="U104" s="208"/>
      <c r="V104" s="208"/>
      <c r="W104" s="208"/>
      <c r="X104" s="208"/>
      <c r="Y104" s="208"/>
      <c r="Z104" s="208"/>
    </row>
    <row r="105" spans="2:26" s="192" customFormat="1" ht="12">
      <c r="B105" s="208"/>
      <c r="C105" s="208"/>
      <c r="D105" s="208"/>
      <c r="E105" s="208"/>
      <c r="F105" s="208"/>
      <c r="G105" s="208"/>
      <c r="H105" s="208"/>
      <c r="I105" s="209"/>
      <c r="J105" s="209"/>
      <c r="K105" s="209"/>
      <c r="L105" s="209"/>
      <c r="M105" s="209"/>
      <c r="N105" s="209"/>
      <c r="O105" s="208"/>
      <c r="P105" s="208"/>
      <c r="Q105" s="208"/>
      <c r="R105" s="208"/>
      <c r="S105" s="211"/>
      <c r="T105" s="208"/>
      <c r="U105" s="208"/>
      <c r="V105" s="208"/>
      <c r="W105" s="208"/>
      <c r="X105" s="208"/>
      <c r="Y105" s="208"/>
      <c r="Z105" s="208"/>
    </row>
    <row r="106" spans="2:26" s="192" customFormat="1" ht="12">
      <c r="B106" s="208"/>
      <c r="C106" s="208"/>
      <c r="D106" s="208"/>
      <c r="E106" s="208"/>
      <c r="F106" s="208"/>
      <c r="G106" s="208"/>
      <c r="H106" s="208"/>
      <c r="I106" s="209"/>
      <c r="J106" s="209"/>
      <c r="K106" s="209"/>
      <c r="L106" s="209"/>
      <c r="M106" s="209"/>
      <c r="N106" s="209"/>
      <c r="O106" s="208"/>
      <c r="P106" s="208"/>
      <c r="Q106" s="208"/>
      <c r="R106" s="208"/>
      <c r="S106" s="211"/>
      <c r="T106" s="208"/>
      <c r="U106" s="208"/>
      <c r="V106" s="208"/>
      <c r="W106" s="208"/>
      <c r="X106" s="208"/>
      <c r="Y106" s="208"/>
      <c r="Z106" s="208"/>
    </row>
    <row r="107" spans="2:26" s="192" customFormat="1" ht="12">
      <c r="B107" s="208"/>
      <c r="C107" s="208"/>
      <c r="D107" s="208"/>
      <c r="E107" s="208"/>
      <c r="F107" s="208"/>
      <c r="G107" s="208"/>
      <c r="H107" s="208"/>
      <c r="I107" s="209"/>
      <c r="J107" s="209"/>
      <c r="K107" s="209"/>
      <c r="L107" s="209"/>
      <c r="M107" s="209"/>
      <c r="N107" s="209"/>
      <c r="O107" s="208"/>
      <c r="P107" s="208"/>
      <c r="Q107" s="208"/>
      <c r="R107" s="208"/>
      <c r="S107" s="211"/>
      <c r="T107" s="208"/>
      <c r="U107" s="208"/>
      <c r="V107" s="208"/>
      <c r="W107" s="208"/>
      <c r="X107" s="208"/>
      <c r="Y107" s="208"/>
      <c r="Z107" s="208"/>
    </row>
    <row r="108" spans="2:26" s="192" customFormat="1" ht="12">
      <c r="B108" s="208"/>
      <c r="C108" s="208"/>
      <c r="D108" s="208"/>
      <c r="E108" s="208"/>
      <c r="F108" s="208"/>
      <c r="G108" s="208"/>
      <c r="H108" s="208"/>
      <c r="I108" s="209"/>
      <c r="J108" s="209"/>
      <c r="K108" s="209"/>
      <c r="L108" s="209"/>
      <c r="M108" s="209"/>
      <c r="N108" s="209"/>
      <c r="O108" s="208"/>
      <c r="P108" s="208"/>
      <c r="Q108" s="208"/>
      <c r="R108" s="208"/>
      <c r="S108" s="211"/>
      <c r="T108" s="208"/>
      <c r="U108" s="208"/>
      <c r="V108" s="208"/>
      <c r="W108" s="208"/>
      <c r="X108" s="208"/>
      <c r="Y108" s="208"/>
      <c r="Z108" s="208"/>
    </row>
    <row r="109" spans="2:26" s="192" customFormat="1" ht="12">
      <c r="B109" s="208"/>
      <c r="C109" s="208"/>
      <c r="D109" s="208"/>
      <c r="E109" s="208"/>
      <c r="F109" s="208"/>
      <c r="G109" s="208"/>
      <c r="H109" s="208"/>
      <c r="I109" s="209"/>
      <c r="J109" s="209"/>
      <c r="K109" s="209"/>
      <c r="L109" s="209"/>
      <c r="M109" s="209"/>
      <c r="N109" s="209"/>
      <c r="O109" s="208"/>
      <c r="P109" s="208"/>
      <c r="Q109" s="208"/>
      <c r="R109" s="208"/>
      <c r="S109" s="211"/>
      <c r="T109" s="208"/>
      <c r="U109" s="208"/>
      <c r="V109" s="208"/>
      <c r="W109" s="208"/>
      <c r="X109" s="208"/>
      <c r="Y109" s="208"/>
      <c r="Z109" s="208"/>
    </row>
    <row r="110" spans="2:26" s="192" customFormat="1" ht="12">
      <c r="B110" s="208"/>
      <c r="C110" s="208"/>
      <c r="D110" s="208"/>
      <c r="E110" s="208"/>
      <c r="F110" s="208"/>
      <c r="G110" s="208"/>
      <c r="H110" s="208"/>
      <c r="I110" s="209"/>
      <c r="J110" s="209"/>
      <c r="K110" s="209"/>
      <c r="L110" s="209"/>
      <c r="M110" s="209"/>
      <c r="N110" s="209"/>
      <c r="O110" s="208"/>
      <c r="P110" s="208"/>
      <c r="Q110" s="208"/>
      <c r="R110" s="208"/>
      <c r="S110" s="211"/>
      <c r="T110" s="208"/>
      <c r="U110" s="208"/>
      <c r="V110" s="208"/>
      <c r="W110" s="208"/>
      <c r="X110" s="208"/>
      <c r="Y110" s="208"/>
      <c r="Z110" s="208"/>
    </row>
    <row r="111" spans="2:26" s="192" customFormat="1" ht="12">
      <c r="B111" s="208"/>
      <c r="C111" s="208"/>
      <c r="D111" s="208"/>
      <c r="E111" s="208"/>
      <c r="F111" s="208"/>
      <c r="G111" s="208"/>
      <c r="H111" s="208"/>
      <c r="I111" s="209"/>
      <c r="J111" s="209"/>
      <c r="K111" s="209"/>
      <c r="L111" s="209"/>
      <c r="M111" s="209"/>
      <c r="N111" s="209"/>
      <c r="O111" s="208"/>
      <c r="P111" s="208"/>
      <c r="Q111" s="208"/>
      <c r="R111" s="208"/>
      <c r="S111" s="211"/>
      <c r="T111" s="208"/>
      <c r="U111" s="208"/>
      <c r="V111" s="208"/>
      <c r="W111" s="208"/>
      <c r="X111" s="208"/>
      <c r="Y111" s="208"/>
      <c r="Z111" s="208"/>
    </row>
    <row r="112" spans="2:26" s="192" customFormat="1" ht="12">
      <c r="B112" s="208"/>
      <c r="C112" s="208"/>
      <c r="D112" s="208"/>
      <c r="E112" s="208"/>
      <c r="F112" s="208"/>
      <c r="G112" s="208"/>
      <c r="H112" s="208"/>
      <c r="I112" s="209"/>
      <c r="J112" s="209"/>
      <c r="K112" s="209"/>
      <c r="L112" s="209"/>
      <c r="M112" s="209"/>
      <c r="N112" s="209"/>
      <c r="O112" s="208"/>
      <c r="P112" s="208"/>
      <c r="Q112" s="208"/>
      <c r="R112" s="208"/>
      <c r="S112" s="211"/>
      <c r="T112" s="208"/>
      <c r="U112" s="208"/>
      <c r="V112" s="208"/>
      <c r="W112" s="208"/>
      <c r="X112" s="208"/>
      <c r="Y112" s="208"/>
      <c r="Z112" s="208"/>
    </row>
    <row r="113" spans="2:26" s="192" customFormat="1" ht="12">
      <c r="B113" s="208"/>
      <c r="C113" s="208"/>
      <c r="D113" s="208"/>
      <c r="E113" s="208"/>
      <c r="F113" s="208"/>
      <c r="G113" s="208"/>
      <c r="H113" s="208"/>
      <c r="I113" s="209"/>
      <c r="J113" s="209"/>
      <c r="K113" s="209"/>
      <c r="L113" s="209"/>
      <c r="M113" s="209"/>
      <c r="N113" s="209"/>
      <c r="O113" s="208"/>
      <c r="P113" s="208"/>
      <c r="Q113" s="208"/>
      <c r="R113" s="208"/>
      <c r="S113" s="211"/>
      <c r="T113" s="208"/>
      <c r="U113" s="208"/>
      <c r="V113" s="208"/>
      <c r="W113" s="208"/>
      <c r="X113" s="208"/>
      <c r="Y113" s="208"/>
      <c r="Z113" s="208"/>
    </row>
    <row r="114" spans="2:26" s="192" customFormat="1" ht="12">
      <c r="B114" s="208"/>
      <c r="C114" s="208"/>
      <c r="D114" s="208"/>
      <c r="E114" s="208"/>
      <c r="F114" s="208"/>
      <c r="G114" s="208"/>
      <c r="H114" s="208"/>
      <c r="I114" s="209"/>
      <c r="J114" s="209"/>
      <c r="K114" s="209"/>
      <c r="L114" s="209"/>
      <c r="M114" s="209"/>
      <c r="N114" s="209"/>
      <c r="O114" s="208"/>
      <c r="P114" s="208"/>
      <c r="Q114" s="208"/>
      <c r="R114" s="208"/>
      <c r="S114" s="211"/>
      <c r="T114" s="208"/>
      <c r="U114" s="208"/>
      <c r="V114" s="208"/>
      <c r="W114" s="208"/>
      <c r="X114" s="208"/>
      <c r="Y114" s="208"/>
      <c r="Z114" s="208"/>
    </row>
    <row r="115" spans="2:26" s="192" customFormat="1" ht="12">
      <c r="B115" s="208"/>
      <c r="C115" s="208"/>
      <c r="D115" s="208"/>
      <c r="E115" s="208"/>
      <c r="F115" s="208"/>
      <c r="G115" s="208"/>
      <c r="H115" s="208"/>
      <c r="I115" s="209"/>
      <c r="J115" s="209"/>
      <c r="K115" s="209"/>
      <c r="L115" s="209"/>
      <c r="M115" s="209"/>
      <c r="N115" s="209"/>
      <c r="O115" s="208"/>
      <c r="P115" s="208"/>
      <c r="Q115" s="208"/>
      <c r="R115" s="208"/>
      <c r="S115" s="211"/>
      <c r="T115" s="208"/>
      <c r="U115" s="208"/>
      <c r="V115" s="208"/>
      <c r="W115" s="208"/>
      <c r="X115" s="208"/>
      <c r="Y115" s="208"/>
      <c r="Z115" s="208"/>
    </row>
    <row r="116" spans="2:26" s="192" customFormat="1" ht="12">
      <c r="B116" s="208"/>
      <c r="C116" s="208"/>
      <c r="D116" s="208"/>
      <c r="E116" s="208"/>
      <c r="F116" s="208"/>
      <c r="G116" s="208"/>
      <c r="H116" s="208"/>
      <c r="I116" s="209"/>
      <c r="J116" s="209"/>
      <c r="K116" s="209"/>
      <c r="L116" s="209"/>
      <c r="M116" s="209"/>
      <c r="N116" s="209"/>
      <c r="O116" s="208"/>
      <c r="P116" s="208"/>
      <c r="Q116" s="208"/>
      <c r="R116" s="208"/>
      <c r="S116" s="211"/>
      <c r="T116" s="208"/>
      <c r="U116" s="208"/>
      <c r="V116" s="208"/>
      <c r="W116" s="208"/>
      <c r="X116" s="208"/>
      <c r="Y116" s="208"/>
      <c r="Z116" s="208"/>
    </row>
    <row r="117" spans="2:26" s="192" customFormat="1" ht="12">
      <c r="B117" s="208"/>
      <c r="C117" s="208"/>
      <c r="D117" s="208"/>
      <c r="E117" s="208"/>
      <c r="F117" s="208"/>
      <c r="G117" s="208"/>
      <c r="H117" s="208"/>
      <c r="I117" s="209"/>
      <c r="J117" s="209"/>
      <c r="K117" s="209"/>
      <c r="L117" s="209"/>
      <c r="M117" s="209"/>
      <c r="N117" s="209"/>
      <c r="O117" s="208"/>
      <c r="P117" s="208"/>
      <c r="Q117" s="208"/>
      <c r="R117" s="208"/>
      <c r="S117" s="211"/>
      <c r="T117" s="208"/>
      <c r="U117" s="208"/>
      <c r="V117" s="208"/>
      <c r="W117" s="208"/>
      <c r="X117" s="208"/>
      <c r="Y117" s="208"/>
      <c r="Z117" s="208"/>
    </row>
    <row r="118" spans="2:26" s="192" customFormat="1" ht="12">
      <c r="B118" s="208"/>
      <c r="C118" s="208"/>
      <c r="D118" s="208"/>
      <c r="E118" s="208"/>
      <c r="F118" s="208"/>
      <c r="G118" s="208"/>
      <c r="H118" s="208"/>
      <c r="I118" s="209"/>
      <c r="J118" s="209"/>
      <c r="K118" s="209"/>
      <c r="L118" s="209"/>
      <c r="M118" s="209"/>
      <c r="N118" s="209"/>
      <c r="O118" s="208"/>
      <c r="P118" s="208"/>
      <c r="Q118" s="208"/>
      <c r="R118" s="208"/>
      <c r="S118" s="211"/>
      <c r="T118" s="208"/>
      <c r="U118" s="208"/>
      <c r="V118" s="208"/>
      <c r="W118" s="208"/>
      <c r="X118" s="208"/>
      <c r="Y118" s="208"/>
      <c r="Z118" s="208"/>
    </row>
    <row r="119" spans="2:26" s="192" customFormat="1" ht="12">
      <c r="B119" s="208"/>
      <c r="C119" s="208"/>
      <c r="D119" s="208"/>
      <c r="E119" s="208"/>
      <c r="F119" s="208"/>
      <c r="G119" s="208"/>
      <c r="H119" s="208"/>
      <c r="I119" s="209"/>
      <c r="J119" s="209"/>
      <c r="K119" s="209"/>
      <c r="L119" s="209"/>
      <c r="M119" s="209"/>
      <c r="N119" s="209"/>
      <c r="O119" s="208"/>
      <c r="P119" s="208"/>
      <c r="Q119" s="208"/>
      <c r="R119" s="208"/>
      <c r="S119" s="211"/>
      <c r="T119" s="208"/>
      <c r="U119" s="208"/>
      <c r="V119" s="208"/>
      <c r="W119" s="208"/>
      <c r="X119" s="208"/>
      <c r="Y119" s="208"/>
      <c r="Z119" s="208"/>
    </row>
    <row r="120" spans="2:26" s="192" customFormat="1" ht="12">
      <c r="B120" s="208"/>
      <c r="C120" s="208"/>
      <c r="D120" s="208"/>
      <c r="E120" s="208"/>
      <c r="F120" s="208"/>
      <c r="G120" s="208"/>
      <c r="H120" s="208"/>
      <c r="I120" s="209"/>
      <c r="J120" s="209"/>
      <c r="K120" s="209"/>
      <c r="L120" s="209"/>
      <c r="M120" s="209"/>
      <c r="N120" s="209"/>
      <c r="O120" s="208"/>
      <c r="P120" s="208"/>
      <c r="Q120" s="208"/>
      <c r="R120" s="208"/>
      <c r="S120" s="211"/>
      <c r="T120" s="208"/>
      <c r="U120" s="208"/>
      <c r="V120" s="208"/>
      <c r="W120" s="208"/>
      <c r="X120" s="208"/>
      <c r="Y120" s="208"/>
      <c r="Z120" s="208"/>
    </row>
    <row r="121" spans="2:26" s="192" customFormat="1" ht="12">
      <c r="B121" s="208"/>
      <c r="C121" s="208"/>
      <c r="D121" s="208"/>
      <c r="E121" s="208"/>
      <c r="F121" s="208"/>
      <c r="G121" s="208"/>
      <c r="H121" s="208"/>
      <c r="I121" s="209"/>
      <c r="J121" s="209"/>
      <c r="K121" s="209"/>
      <c r="L121" s="209"/>
      <c r="M121" s="209"/>
      <c r="N121" s="209"/>
      <c r="O121" s="208"/>
      <c r="P121" s="208"/>
      <c r="Q121" s="208"/>
      <c r="R121" s="208"/>
      <c r="S121" s="211"/>
      <c r="T121" s="208"/>
      <c r="U121" s="208"/>
      <c r="V121" s="208"/>
      <c r="W121" s="208"/>
      <c r="X121" s="208"/>
      <c r="Y121" s="208"/>
      <c r="Z121" s="208"/>
    </row>
    <row r="122" spans="2:26" s="192" customFormat="1" ht="12">
      <c r="B122" s="208"/>
      <c r="C122" s="208"/>
      <c r="D122" s="208"/>
      <c r="E122" s="208"/>
      <c r="F122" s="208"/>
      <c r="G122" s="208"/>
      <c r="H122" s="208"/>
      <c r="I122" s="209"/>
      <c r="J122" s="209"/>
      <c r="K122" s="209"/>
      <c r="L122" s="209"/>
      <c r="M122" s="209"/>
      <c r="N122" s="209"/>
      <c r="O122" s="208"/>
      <c r="P122" s="208"/>
      <c r="Q122" s="208"/>
      <c r="R122" s="208"/>
      <c r="S122" s="211"/>
      <c r="T122" s="208"/>
      <c r="U122" s="208"/>
      <c r="V122" s="208"/>
      <c r="W122" s="208"/>
      <c r="X122" s="208"/>
      <c r="Y122" s="208"/>
      <c r="Z122" s="208"/>
    </row>
    <row r="123" spans="2:26" s="192" customFormat="1" ht="12">
      <c r="B123" s="208"/>
      <c r="C123" s="208"/>
      <c r="D123" s="208"/>
      <c r="E123" s="208"/>
      <c r="F123" s="208"/>
      <c r="G123" s="208"/>
      <c r="H123" s="208"/>
      <c r="I123" s="209"/>
      <c r="J123" s="209"/>
      <c r="K123" s="209"/>
      <c r="L123" s="209"/>
      <c r="M123" s="209"/>
      <c r="N123" s="209"/>
      <c r="O123" s="208"/>
      <c r="P123" s="208"/>
      <c r="Q123" s="208"/>
      <c r="R123" s="208"/>
      <c r="S123" s="211"/>
      <c r="T123" s="208"/>
      <c r="U123" s="208"/>
      <c r="V123" s="208"/>
      <c r="W123" s="208"/>
      <c r="X123" s="208"/>
      <c r="Y123" s="208"/>
      <c r="Z123" s="208"/>
    </row>
    <row r="124" spans="2:26" s="192" customFormat="1" ht="12">
      <c r="B124" s="208"/>
      <c r="C124" s="208"/>
      <c r="D124" s="208"/>
      <c r="E124" s="208"/>
      <c r="F124" s="208"/>
      <c r="G124" s="208"/>
      <c r="H124" s="208"/>
      <c r="I124" s="209"/>
      <c r="J124" s="209"/>
      <c r="K124" s="209"/>
      <c r="L124" s="209"/>
      <c r="M124" s="209"/>
      <c r="N124" s="209"/>
      <c r="O124" s="208"/>
      <c r="P124" s="208"/>
      <c r="Q124" s="208"/>
      <c r="R124" s="208"/>
      <c r="S124" s="211"/>
      <c r="T124" s="208"/>
      <c r="U124" s="208"/>
      <c r="V124" s="208"/>
      <c r="W124" s="208"/>
      <c r="X124" s="208"/>
      <c r="Y124" s="208"/>
      <c r="Z124" s="208"/>
    </row>
    <row r="125" spans="2:26" s="192" customFormat="1" ht="12">
      <c r="B125" s="208"/>
      <c r="C125" s="208"/>
      <c r="D125" s="208"/>
      <c r="E125" s="208"/>
      <c r="F125" s="208"/>
      <c r="G125" s="208"/>
      <c r="H125" s="208"/>
      <c r="I125" s="209"/>
      <c r="J125" s="209"/>
      <c r="K125" s="209"/>
      <c r="L125" s="209"/>
      <c r="M125" s="209"/>
      <c r="N125" s="209"/>
      <c r="O125" s="208"/>
      <c r="P125" s="208"/>
      <c r="Q125" s="208"/>
      <c r="R125" s="208"/>
      <c r="S125" s="211"/>
      <c r="T125" s="208"/>
      <c r="U125" s="208"/>
      <c r="V125" s="208"/>
      <c r="W125" s="208"/>
      <c r="X125" s="208"/>
      <c r="Y125" s="208"/>
      <c r="Z125" s="208"/>
    </row>
    <row r="126" spans="2:26" s="192" customFormat="1" ht="12">
      <c r="B126" s="208"/>
      <c r="C126" s="208"/>
      <c r="D126" s="208"/>
      <c r="E126" s="208"/>
      <c r="F126" s="208"/>
      <c r="G126" s="208"/>
      <c r="H126" s="208"/>
      <c r="I126" s="209"/>
      <c r="J126" s="209"/>
      <c r="K126" s="209"/>
      <c r="L126" s="209"/>
      <c r="M126" s="209"/>
      <c r="N126" s="209"/>
      <c r="O126" s="208"/>
      <c r="P126" s="208"/>
      <c r="Q126" s="208"/>
      <c r="R126" s="208"/>
      <c r="S126" s="211"/>
      <c r="T126" s="208"/>
      <c r="U126" s="208"/>
      <c r="V126" s="208"/>
      <c r="W126" s="208"/>
      <c r="X126" s="208"/>
      <c r="Y126" s="208"/>
      <c r="Z126" s="208"/>
    </row>
    <row r="127" spans="2:26" s="192" customFormat="1" ht="12">
      <c r="B127" s="208"/>
      <c r="C127" s="208"/>
      <c r="D127" s="208"/>
      <c r="E127" s="208"/>
      <c r="F127" s="208"/>
      <c r="G127" s="208"/>
      <c r="H127" s="208"/>
      <c r="I127" s="209"/>
      <c r="J127" s="209"/>
      <c r="K127" s="209"/>
      <c r="L127" s="209"/>
      <c r="M127" s="209"/>
      <c r="N127" s="209"/>
      <c r="O127" s="208"/>
      <c r="P127" s="208"/>
      <c r="Q127" s="208"/>
      <c r="R127" s="208"/>
      <c r="S127" s="211"/>
      <c r="T127" s="208"/>
      <c r="U127" s="208"/>
      <c r="V127" s="208"/>
      <c r="W127" s="208"/>
      <c r="X127" s="208"/>
      <c r="Y127" s="208"/>
      <c r="Z127" s="208"/>
    </row>
    <row r="128" spans="2:26" s="192" customFormat="1" ht="12">
      <c r="B128" s="208"/>
      <c r="C128" s="208"/>
      <c r="D128" s="208"/>
      <c r="E128" s="208"/>
      <c r="F128" s="208"/>
      <c r="G128" s="208"/>
      <c r="H128" s="208"/>
      <c r="I128" s="209"/>
      <c r="J128" s="209"/>
      <c r="K128" s="209"/>
      <c r="L128" s="209"/>
      <c r="M128" s="209"/>
      <c r="N128" s="209"/>
      <c r="O128" s="208"/>
      <c r="P128" s="208"/>
      <c r="Q128" s="208"/>
      <c r="R128" s="208"/>
      <c r="S128" s="211"/>
      <c r="T128" s="208"/>
      <c r="U128" s="208"/>
      <c r="V128" s="208"/>
      <c r="W128" s="208"/>
      <c r="X128" s="208"/>
      <c r="Y128" s="208"/>
      <c r="Z128" s="208"/>
    </row>
    <row r="129" spans="2:26" s="192" customFormat="1" ht="12">
      <c r="B129" s="208"/>
      <c r="C129" s="208"/>
      <c r="D129" s="208"/>
      <c r="E129" s="208"/>
      <c r="F129" s="208"/>
      <c r="G129" s="208"/>
      <c r="H129" s="208"/>
      <c r="I129" s="209"/>
      <c r="J129" s="209"/>
      <c r="K129" s="209"/>
      <c r="L129" s="209"/>
      <c r="M129" s="209"/>
      <c r="N129" s="209"/>
      <c r="O129" s="208"/>
      <c r="P129" s="208"/>
      <c r="Q129" s="208"/>
      <c r="R129" s="208"/>
      <c r="S129" s="211"/>
      <c r="T129" s="208"/>
      <c r="U129" s="208"/>
      <c r="V129" s="208"/>
      <c r="W129" s="208"/>
      <c r="X129" s="208"/>
      <c r="Y129" s="208"/>
      <c r="Z129" s="208"/>
    </row>
    <row r="130" spans="2:26" s="192" customFormat="1" ht="12">
      <c r="B130" s="208"/>
      <c r="C130" s="208"/>
      <c r="D130" s="208"/>
      <c r="E130" s="208"/>
      <c r="F130" s="208"/>
      <c r="G130" s="208"/>
      <c r="H130" s="208"/>
      <c r="I130" s="209"/>
      <c r="J130" s="209"/>
      <c r="K130" s="209"/>
      <c r="L130" s="209"/>
      <c r="M130" s="209"/>
      <c r="N130" s="209"/>
      <c r="O130" s="208"/>
      <c r="P130" s="208"/>
      <c r="Q130" s="208"/>
      <c r="R130" s="208"/>
      <c r="S130" s="211"/>
      <c r="T130" s="208"/>
      <c r="U130" s="208"/>
      <c r="V130" s="208"/>
      <c r="W130" s="208"/>
      <c r="X130" s="208"/>
      <c r="Y130" s="208"/>
      <c r="Z130" s="208"/>
    </row>
    <row r="131" spans="2:26" s="192" customFormat="1" ht="12">
      <c r="B131" s="208"/>
      <c r="C131" s="208"/>
      <c r="D131" s="208"/>
      <c r="E131" s="208"/>
      <c r="F131" s="208"/>
      <c r="G131" s="208"/>
      <c r="H131" s="208"/>
      <c r="I131" s="209"/>
      <c r="J131" s="209"/>
      <c r="K131" s="209"/>
      <c r="L131" s="209"/>
      <c r="M131" s="209"/>
      <c r="N131" s="209"/>
      <c r="O131" s="208"/>
      <c r="P131" s="208"/>
      <c r="Q131" s="208"/>
      <c r="R131" s="208"/>
      <c r="S131" s="211"/>
      <c r="T131" s="208"/>
      <c r="U131" s="208"/>
      <c r="V131" s="208"/>
      <c r="W131" s="208"/>
      <c r="X131" s="208"/>
      <c r="Y131" s="208"/>
      <c r="Z131" s="208"/>
    </row>
    <row r="132" spans="2:26" s="192" customFormat="1" ht="12">
      <c r="B132" s="208"/>
      <c r="C132" s="208"/>
      <c r="D132" s="208"/>
      <c r="E132" s="208"/>
      <c r="F132" s="208"/>
      <c r="G132" s="208"/>
      <c r="H132" s="208"/>
      <c r="I132" s="209"/>
      <c r="J132" s="209"/>
      <c r="K132" s="209"/>
      <c r="L132" s="209"/>
      <c r="M132" s="209"/>
      <c r="N132" s="209"/>
      <c r="O132" s="208"/>
      <c r="P132" s="208"/>
      <c r="Q132" s="208"/>
      <c r="R132" s="208"/>
      <c r="S132" s="211"/>
      <c r="T132" s="208"/>
      <c r="U132" s="208"/>
      <c r="V132" s="208"/>
      <c r="W132" s="208"/>
      <c r="X132" s="208"/>
      <c r="Y132" s="208"/>
      <c r="Z132" s="208"/>
    </row>
    <row r="133" spans="2:26" s="192" customFormat="1" ht="12">
      <c r="B133" s="208"/>
      <c r="C133" s="208"/>
      <c r="D133" s="208"/>
      <c r="E133" s="208"/>
      <c r="F133" s="208"/>
      <c r="G133" s="208"/>
      <c r="H133" s="208"/>
      <c r="I133" s="209"/>
      <c r="J133" s="209"/>
      <c r="K133" s="209"/>
      <c r="L133" s="209"/>
      <c r="M133" s="209"/>
      <c r="N133" s="209"/>
      <c r="O133" s="208"/>
      <c r="P133" s="208"/>
      <c r="Q133" s="208"/>
      <c r="R133" s="208"/>
      <c r="S133" s="211"/>
      <c r="T133" s="208"/>
      <c r="U133" s="208"/>
      <c r="V133" s="208"/>
      <c r="W133" s="208"/>
      <c r="X133" s="208"/>
      <c r="Y133" s="208"/>
      <c r="Z133" s="208"/>
    </row>
    <row r="134" spans="2:26" s="192" customFormat="1" ht="12">
      <c r="B134" s="208"/>
      <c r="C134" s="208"/>
      <c r="D134" s="208"/>
      <c r="E134" s="208"/>
      <c r="F134" s="208"/>
      <c r="G134" s="208"/>
      <c r="H134" s="208"/>
      <c r="I134" s="209"/>
      <c r="J134" s="209"/>
      <c r="K134" s="209"/>
      <c r="L134" s="209"/>
      <c r="M134" s="209"/>
      <c r="N134" s="209"/>
      <c r="O134" s="208"/>
      <c r="P134" s="208"/>
      <c r="Q134" s="208"/>
      <c r="R134" s="208"/>
      <c r="S134" s="211"/>
      <c r="T134" s="208"/>
      <c r="U134" s="208"/>
      <c r="V134" s="208"/>
      <c r="W134" s="208"/>
      <c r="X134" s="208"/>
      <c r="Y134" s="208"/>
      <c r="Z134" s="208"/>
    </row>
    <row r="135" spans="2:26" s="192" customFormat="1" ht="12">
      <c r="B135" s="208"/>
      <c r="C135" s="208"/>
      <c r="D135" s="208"/>
      <c r="E135" s="208"/>
      <c r="F135" s="208"/>
      <c r="G135" s="208"/>
      <c r="H135" s="208"/>
      <c r="I135" s="209"/>
      <c r="J135" s="209"/>
      <c r="K135" s="209"/>
      <c r="L135" s="209"/>
      <c r="M135" s="209"/>
      <c r="N135" s="209"/>
      <c r="O135" s="208"/>
      <c r="P135" s="208"/>
      <c r="Q135" s="208"/>
      <c r="R135" s="208"/>
      <c r="S135" s="211"/>
      <c r="T135" s="208"/>
      <c r="U135" s="208"/>
      <c r="V135" s="208"/>
      <c r="W135" s="208"/>
      <c r="X135" s="208"/>
      <c r="Y135" s="208"/>
      <c r="Z135" s="208"/>
    </row>
    <row r="136" spans="2:26" s="192" customFormat="1" ht="12">
      <c r="B136" s="208"/>
      <c r="C136" s="208"/>
      <c r="D136" s="208"/>
      <c r="E136" s="208"/>
      <c r="F136" s="208"/>
      <c r="G136" s="208"/>
      <c r="H136" s="208"/>
      <c r="I136" s="209"/>
      <c r="J136" s="209"/>
      <c r="K136" s="209"/>
      <c r="L136" s="209"/>
      <c r="M136" s="209"/>
      <c r="N136" s="209"/>
      <c r="O136" s="208"/>
      <c r="P136" s="208"/>
      <c r="Q136" s="208"/>
      <c r="R136" s="208"/>
      <c r="S136" s="211"/>
      <c r="T136" s="208"/>
      <c r="U136" s="208"/>
      <c r="V136" s="208"/>
      <c r="W136" s="208"/>
      <c r="X136" s="208"/>
      <c r="Y136" s="208"/>
      <c r="Z136" s="208"/>
    </row>
    <row r="137" spans="2:26" s="192" customFormat="1" ht="12">
      <c r="B137" s="208"/>
      <c r="C137" s="208"/>
      <c r="D137" s="208"/>
      <c r="E137" s="208"/>
      <c r="F137" s="208"/>
      <c r="G137" s="208"/>
      <c r="H137" s="208"/>
      <c r="I137" s="209"/>
      <c r="J137" s="209"/>
      <c r="K137" s="209"/>
      <c r="L137" s="209"/>
      <c r="M137" s="209"/>
      <c r="N137" s="209"/>
      <c r="O137" s="208"/>
      <c r="P137" s="208"/>
      <c r="Q137" s="208"/>
      <c r="R137" s="208"/>
      <c r="S137" s="211"/>
      <c r="T137" s="208"/>
      <c r="U137" s="208"/>
      <c r="V137" s="208"/>
      <c r="W137" s="208"/>
      <c r="X137" s="208"/>
      <c r="Y137" s="208"/>
      <c r="Z137" s="208"/>
    </row>
    <row r="138" spans="2:26" s="192" customFormat="1" ht="12">
      <c r="B138" s="208"/>
      <c r="C138" s="208"/>
      <c r="D138" s="208"/>
      <c r="E138" s="208"/>
      <c r="F138" s="208"/>
      <c r="G138" s="208"/>
      <c r="H138" s="208"/>
      <c r="I138" s="209"/>
      <c r="J138" s="209"/>
      <c r="K138" s="209"/>
      <c r="L138" s="209"/>
      <c r="M138" s="209"/>
      <c r="N138" s="209"/>
      <c r="O138" s="208"/>
      <c r="P138" s="208"/>
      <c r="Q138" s="208"/>
      <c r="R138" s="208"/>
      <c r="S138" s="211"/>
      <c r="T138" s="208"/>
      <c r="U138" s="208"/>
      <c r="V138" s="208"/>
      <c r="W138" s="208"/>
      <c r="X138" s="208"/>
      <c r="Y138" s="208"/>
      <c r="Z138" s="208"/>
    </row>
    <row r="139" spans="2:26" s="192" customFormat="1" ht="12">
      <c r="B139" s="208"/>
      <c r="C139" s="208"/>
      <c r="D139" s="208"/>
      <c r="E139" s="208"/>
      <c r="F139" s="208"/>
      <c r="G139" s="208"/>
      <c r="H139" s="208"/>
      <c r="I139" s="209"/>
      <c r="J139" s="209"/>
      <c r="K139" s="209"/>
      <c r="L139" s="209"/>
      <c r="M139" s="209"/>
      <c r="N139" s="209"/>
      <c r="O139" s="208"/>
      <c r="P139" s="208"/>
      <c r="Q139" s="208"/>
      <c r="R139" s="208"/>
      <c r="S139" s="211"/>
      <c r="T139" s="208"/>
      <c r="U139" s="208"/>
      <c r="V139" s="208"/>
      <c r="W139" s="208"/>
      <c r="X139" s="208"/>
      <c r="Y139" s="208"/>
      <c r="Z139" s="208"/>
    </row>
    <row r="140" spans="2:26" s="192" customFormat="1" ht="12">
      <c r="B140" s="208"/>
      <c r="C140" s="208"/>
      <c r="D140" s="208"/>
      <c r="E140" s="208"/>
      <c r="F140" s="208"/>
      <c r="G140" s="208"/>
      <c r="H140" s="208"/>
      <c r="I140" s="209"/>
      <c r="J140" s="209"/>
      <c r="K140" s="209"/>
      <c r="L140" s="209"/>
      <c r="M140" s="209"/>
      <c r="N140" s="209"/>
      <c r="O140" s="208"/>
      <c r="P140" s="208"/>
      <c r="Q140" s="208"/>
      <c r="R140" s="208"/>
      <c r="S140" s="211"/>
      <c r="T140" s="208"/>
      <c r="U140" s="208"/>
      <c r="V140" s="208"/>
      <c r="W140" s="208"/>
      <c r="X140" s="208"/>
      <c r="Y140" s="208"/>
      <c r="Z140" s="208"/>
    </row>
    <row r="141" spans="2:26" s="192" customFormat="1" ht="12">
      <c r="B141" s="208"/>
      <c r="C141" s="208"/>
      <c r="D141" s="208"/>
      <c r="E141" s="208"/>
      <c r="F141" s="208"/>
      <c r="G141" s="208"/>
      <c r="H141" s="208"/>
      <c r="I141" s="209"/>
      <c r="J141" s="209"/>
      <c r="K141" s="209"/>
      <c r="L141" s="209"/>
      <c r="M141" s="209"/>
      <c r="N141" s="209"/>
      <c r="O141" s="208"/>
      <c r="P141" s="208"/>
      <c r="Q141" s="208"/>
      <c r="R141" s="208"/>
      <c r="S141" s="211"/>
      <c r="T141" s="208"/>
      <c r="U141" s="208"/>
      <c r="V141" s="208"/>
      <c r="W141" s="208"/>
      <c r="X141" s="208"/>
      <c r="Y141" s="208"/>
      <c r="Z141" s="208"/>
    </row>
    <row r="142" spans="2:26" s="192" customFormat="1" ht="12">
      <c r="B142" s="208"/>
      <c r="C142" s="208"/>
      <c r="D142" s="208"/>
      <c r="E142" s="208"/>
      <c r="F142" s="208"/>
      <c r="G142" s="208"/>
      <c r="H142" s="208"/>
      <c r="I142" s="209"/>
      <c r="J142" s="209"/>
      <c r="K142" s="209"/>
      <c r="L142" s="209"/>
      <c r="M142" s="209"/>
      <c r="N142" s="209"/>
      <c r="O142" s="208"/>
      <c r="P142" s="208"/>
      <c r="Q142" s="208"/>
      <c r="R142" s="208"/>
      <c r="S142" s="211"/>
      <c r="T142" s="208"/>
      <c r="U142" s="208"/>
      <c r="V142" s="208"/>
      <c r="W142" s="208"/>
      <c r="X142" s="208"/>
      <c r="Y142" s="208"/>
      <c r="Z142" s="208"/>
    </row>
    <row r="143" spans="2:26" s="192" customFormat="1" ht="12">
      <c r="B143" s="208"/>
      <c r="C143" s="208"/>
      <c r="D143" s="208"/>
      <c r="E143" s="208"/>
      <c r="F143" s="208"/>
      <c r="G143" s="208"/>
      <c r="H143" s="208"/>
      <c r="I143" s="209"/>
      <c r="J143" s="209"/>
      <c r="K143" s="209"/>
      <c r="L143" s="209"/>
      <c r="M143" s="209"/>
      <c r="N143" s="209"/>
      <c r="O143" s="208"/>
      <c r="P143" s="208"/>
      <c r="Q143" s="208"/>
      <c r="R143" s="208"/>
      <c r="S143" s="211"/>
      <c r="T143" s="208"/>
      <c r="U143" s="208"/>
      <c r="V143" s="208"/>
      <c r="W143" s="208"/>
      <c r="X143" s="208"/>
      <c r="Y143" s="208"/>
      <c r="Z143" s="208"/>
    </row>
    <row r="144" spans="2:26" s="192" customFormat="1" ht="12">
      <c r="B144" s="208"/>
      <c r="C144" s="208"/>
      <c r="D144" s="208"/>
      <c r="E144" s="208"/>
      <c r="F144" s="208"/>
      <c r="G144" s="208"/>
      <c r="H144" s="208"/>
      <c r="I144" s="209"/>
      <c r="J144" s="209"/>
      <c r="K144" s="209"/>
      <c r="L144" s="209"/>
      <c r="M144" s="209"/>
      <c r="N144" s="209"/>
      <c r="O144" s="208"/>
      <c r="P144" s="208"/>
      <c r="Q144" s="208"/>
      <c r="R144" s="208"/>
      <c r="S144" s="211"/>
      <c r="T144" s="208"/>
      <c r="U144" s="208"/>
      <c r="V144" s="208"/>
      <c r="W144" s="208"/>
      <c r="X144" s="208"/>
      <c r="Y144" s="208"/>
      <c r="Z144" s="208"/>
    </row>
    <row r="145" spans="2:26" s="192" customFormat="1" ht="12">
      <c r="B145" s="208"/>
      <c r="C145" s="208"/>
      <c r="D145" s="208"/>
      <c r="E145" s="208"/>
      <c r="F145" s="208"/>
      <c r="G145" s="208"/>
      <c r="H145" s="208"/>
      <c r="I145" s="209"/>
      <c r="J145" s="209"/>
      <c r="K145" s="209"/>
      <c r="L145" s="209"/>
      <c r="M145" s="209"/>
      <c r="N145" s="209"/>
      <c r="O145" s="208"/>
      <c r="P145" s="208"/>
      <c r="Q145" s="208"/>
      <c r="R145" s="208"/>
      <c r="S145" s="211"/>
      <c r="T145" s="208"/>
      <c r="U145" s="208"/>
      <c r="V145" s="208"/>
      <c r="W145" s="208"/>
      <c r="X145" s="208"/>
      <c r="Y145" s="208"/>
      <c r="Z145" s="208"/>
    </row>
    <row r="146" spans="2:26" s="192" customFormat="1" ht="12">
      <c r="B146" s="208"/>
      <c r="C146" s="208"/>
      <c r="D146" s="208"/>
      <c r="E146" s="208"/>
      <c r="F146" s="208"/>
      <c r="G146" s="208"/>
      <c r="H146" s="208"/>
      <c r="I146" s="209"/>
      <c r="J146" s="209"/>
      <c r="K146" s="209"/>
      <c r="L146" s="209"/>
      <c r="M146" s="209"/>
      <c r="N146" s="209"/>
      <c r="O146" s="208"/>
      <c r="P146" s="208"/>
      <c r="Q146" s="208"/>
      <c r="R146" s="208"/>
      <c r="S146" s="211"/>
      <c r="T146" s="208"/>
      <c r="U146" s="208"/>
      <c r="V146" s="208"/>
      <c r="W146" s="208"/>
      <c r="X146" s="208"/>
      <c r="Y146" s="208"/>
      <c r="Z146" s="208"/>
    </row>
    <row r="147" spans="2:26" s="192" customFormat="1" ht="12">
      <c r="B147" s="208"/>
      <c r="C147" s="208"/>
      <c r="D147" s="208"/>
      <c r="E147" s="208"/>
      <c r="F147" s="208"/>
      <c r="G147" s="208"/>
      <c r="H147" s="208"/>
      <c r="I147" s="209"/>
      <c r="J147" s="209"/>
      <c r="K147" s="209"/>
      <c r="L147" s="209"/>
      <c r="M147" s="209"/>
      <c r="N147" s="209"/>
      <c r="O147" s="208"/>
      <c r="P147" s="208"/>
      <c r="Q147" s="208"/>
      <c r="R147" s="208"/>
      <c r="S147" s="211"/>
      <c r="T147" s="208"/>
      <c r="U147" s="208"/>
      <c r="V147" s="208"/>
      <c r="W147" s="208"/>
      <c r="X147" s="208"/>
      <c r="Y147" s="208"/>
      <c r="Z147" s="208"/>
    </row>
    <row r="148" spans="2:26" s="192" customFormat="1" ht="12">
      <c r="B148" s="208"/>
      <c r="C148" s="208"/>
      <c r="D148" s="208"/>
      <c r="E148" s="208"/>
      <c r="F148" s="208"/>
      <c r="G148" s="208"/>
      <c r="H148" s="208"/>
      <c r="I148" s="209"/>
      <c r="J148" s="209"/>
      <c r="K148" s="209"/>
      <c r="L148" s="209"/>
      <c r="M148" s="209"/>
      <c r="N148" s="209"/>
      <c r="O148" s="208"/>
      <c r="P148" s="208"/>
      <c r="Q148" s="208"/>
      <c r="R148" s="208"/>
      <c r="S148" s="211"/>
      <c r="T148" s="208"/>
      <c r="U148" s="208"/>
      <c r="V148" s="208"/>
      <c r="W148" s="208"/>
      <c r="X148" s="208"/>
      <c r="Y148" s="208"/>
      <c r="Z148" s="208"/>
    </row>
    <row r="149" spans="2:26" s="192" customFormat="1" ht="12">
      <c r="B149" s="208"/>
      <c r="C149" s="208"/>
      <c r="D149" s="208"/>
      <c r="E149" s="208"/>
      <c r="F149" s="208"/>
      <c r="G149" s="208"/>
      <c r="H149" s="208"/>
      <c r="I149" s="209"/>
      <c r="J149" s="209"/>
      <c r="K149" s="209"/>
      <c r="L149" s="209"/>
      <c r="M149" s="209"/>
      <c r="N149" s="209"/>
      <c r="O149" s="208"/>
      <c r="P149" s="208"/>
      <c r="Q149" s="208"/>
      <c r="R149" s="208"/>
      <c r="S149" s="211"/>
      <c r="T149" s="208"/>
      <c r="U149" s="208"/>
      <c r="V149" s="208"/>
      <c r="W149" s="208"/>
      <c r="X149" s="208"/>
      <c r="Y149" s="208"/>
      <c r="Z149" s="208"/>
    </row>
    <row r="150" spans="2:26" s="192" customFormat="1" ht="12">
      <c r="B150" s="208"/>
      <c r="C150" s="208"/>
      <c r="D150" s="208"/>
      <c r="E150" s="208"/>
      <c r="F150" s="208"/>
      <c r="G150" s="208"/>
      <c r="H150" s="208"/>
      <c r="I150" s="209"/>
      <c r="J150" s="209"/>
      <c r="K150" s="209"/>
      <c r="L150" s="209"/>
      <c r="M150" s="209"/>
      <c r="N150" s="209"/>
      <c r="O150" s="208"/>
      <c r="P150" s="208"/>
      <c r="Q150" s="208"/>
      <c r="R150" s="208"/>
      <c r="S150" s="211"/>
      <c r="T150" s="208"/>
      <c r="U150" s="208"/>
      <c r="V150" s="208"/>
      <c r="W150" s="208"/>
      <c r="X150" s="208"/>
      <c r="Y150" s="208"/>
      <c r="Z150" s="208"/>
    </row>
    <row r="151" spans="2:26" s="192" customFormat="1" ht="12">
      <c r="B151" s="208"/>
      <c r="C151" s="208"/>
      <c r="D151" s="208"/>
      <c r="E151" s="208"/>
      <c r="F151" s="208"/>
      <c r="G151" s="208"/>
      <c r="H151" s="208"/>
      <c r="I151" s="209"/>
      <c r="J151" s="209"/>
      <c r="K151" s="209"/>
      <c r="L151" s="209"/>
      <c r="M151" s="209"/>
      <c r="N151" s="209"/>
      <c r="O151" s="208"/>
      <c r="P151" s="208"/>
      <c r="Q151" s="208"/>
      <c r="R151" s="208"/>
      <c r="S151" s="211"/>
      <c r="T151" s="208"/>
      <c r="U151" s="208"/>
      <c r="V151" s="208"/>
      <c r="W151" s="208"/>
      <c r="X151" s="208"/>
      <c r="Y151" s="208"/>
      <c r="Z151" s="208"/>
    </row>
    <row r="152" spans="2:26" s="192" customFormat="1" ht="12">
      <c r="B152" s="208"/>
      <c r="C152" s="208"/>
      <c r="D152" s="208"/>
      <c r="E152" s="208"/>
      <c r="F152" s="208"/>
      <c r="G152" s="208"/>
      <c r="H152" s="208"/>
      <c r="I152" s="209"/>
      <c r="J152" s="209"/>
      <c r="K152" s="209"/>
      <c r="L152" s="209"/>
      <c r="M152" s="209"/>
      <c r="N152" s="209"/>
      <c r="O152" s="208"/>
      <c r="P152" s="208"/>
      <c r="Q152" s="208"/>
      <c r="R152" s="208"/>
      <c r="S152" s="211"/>
      <c r="T152" s="208"/>
      <c r="U152" s="208"/>
      <c r="V152" s="208"/>
      <c r="W152" s="208"/>
      <c r="X152" s="208"/>
      <c r="Y152" s="208"/>
      <c r="Z152" s="208"/>
    </row>
    <row r="153" spans="2:26" s="192" customFormat="1" ht="12">
      <c r="B153" s="208"/>
      <c r="C153" s="208"/>
      <c r="D153" s="208"/>
      <c r="E153" s="208"/>
      <c r="F153" s="208"/>
      <c r="G153" s="208"/>
      <c r="H153" s="208"/>
      <c r="I153" s="209"/>
      <c r="J153" s="209"/>
      <c r="K153" s="209"/>
      <c r="L153" s="209"/>
      <c r="M153" s="209"/>
      <c r="N153" s="209"/>
      <c r="O153" s="208"/>
      <c r="P153" s="208"/>
      <c r="Q153" s="208"/>
      <c r="R153" s="208"/>
      <c r="S153" s="211"/>
      <c r="T153" s="208"/>
      <c r="U153" s="208"/>
      <c r="V153" s="208"/>
      <c r="W153" s="208"/>
      <c r="X153" s="208"/>
      <c r="Y153" s="208"/>
      <c r="Z153" s="208"/>
    </row>
    <row r="154" spans="2:26" s="192" customFormat="1" ht="12">
      <c r="B154" s="208"/>
      <c r="C154" s="208"/>
      <c r="D154" s="208"/>
      <c r="E154" s="208"/>
      <c r="F154" s="208"/>
      <c r="G154" s="208"/>
      <c r="H154" s="208"/>
      <c r="I154" s="209"/>
      <c r="J154" s="209"/>
      <c r="K154" s="209"/>
      <c r="L154" s="209"/>
      <c r="M154" s="209"/>
      <c r="N154" s="209"/>
      <c r="O154" s="208"/>
      <c r="P154" s="208"/>
      <c r="Q154" s="208"/>
      <c r="R154" s="208"/>
      <c r="S154" s="211"/>
      <c r="T154" s="208"/>
      <c r="U154" s="208"/>
      <c r="V154" s="208"/>
      <c r="W154" s="208"/>
      <c r="X154" s="208"/>
      <c r="Y154" s="208"/>
      <c r="Z154" s="208"/>
    </row>
    <row r="155" spans="2:26" s="192" customFormat="1" ht="12">
      <c r="B155" s="208"/>
      <c r="C155" s="208"/>
      <c r="D155" s="208"/>
      <c r="E155" s="208"/>
      <c r="F155" s="208"/>
      <c r="G155" s="208"/>
      <c r="H155" s="208"/>
      <c r="I155" s="209"/>
      <c r="J155" s="209"/>
      <c r="K155" s="209"/>
      <c r="L155" s="209"/>
      <c r="M155" s="209"/>
      <c r="N155" s="209"/>
      <c r="O155" s="208"/>
      <c r="P155" s="208"/>
      <c r="Q155" s="208"/>
      <c r="R155" s="208"/>
      <c r="S155" s="211"/>
      <c r="T155" s="208"/>
      <c r="U155" s="208"/>
      <c r="V155" s="208"/>
      <c r="W155" s="208"/>
      <c r="X155" s="208"/>
      <c r="Y155" s="208"/>
      <c r="Z155" s="208"/>
    </row>
    <row r="156" spans="2:26" s="192" customFormat="1" ht="12">
      <c r="B156" s="208"/>
      <c r="C156" s="208"/>
      <c r="D156" s="208"/>
      <c r="E156" s="208"/>
      <c r="F156" s="208"/>
      <c r="G156" s="208"/>
      <c r="H156" s="208"/>
      <c r="I156" s="209"/>
      <c r="J156" s="209"/>
      <c r="K156" s="209"/>
      <c r="L156" s="209"/>
      <c r="M156" s="209"/>
      <c r="N156" s="209"/>
      <c r="O156" s="208"/>
      <c r="P156" s="208"/>
      <c r="Q156" s="208"/>
      <c r="R156" s="208"/>
      <c r="S156" s="211"/>
      <c r="T156" s="208"/>
      <c r="U156" s="208"/>
      <c r="V156" s="208"/>
      <c r="W156" s="208"/>
      <c r="X156" s="208"/>
      <c r="Y156" s="208"/>
      <c r="Z156" s="208"/>
    </row>
    <row r="157" spans="2:26" s="192" customFormat="1" ht="12">
      <c r="B157" s="208"/>
      <c r="C157" s="208"/>
      <c r="D157" s="208"/>
      <c r="E157" s="208"/>
      <c r="F157" s="208"/>
      <c r="G157" s="208"/>
      <c r="H157" s="208"/>
      <c r="I157" s="209"/>
      <c r="J157" s="209"/>
      <c r="K157" s="209"/>
      <c r="L157" s="209"/>
      <c r="M157" s="209"/>
      <c r="N157" s="209"/>
      <c r="O157" s="208"/>
      <c r="P157" s="208"/>
      <c r="Q157" s="208"/>
      <c r="R157" s="208"/>
      <c r="S157" s="211"/>
      <c r="T157" s="208"/>
      <c r="U157" s="208"/>
      <c r="V157" s="208"/>
      <c r="W157" s="208"/>
      <c r="X157" s="208"/>
      <c r="Y157" s="208"/>
      <c r="Z157" s="208"/>
    </row>
    <row r="158" spans="2:26" s="192" customFormat="1" ht="12">
      <c r="B158" s="208"/>
      <c r="C158" s="208"/>
      <c r="D158" s="208"/>
      <c r="E158" s="208"/>
      <c r="F158" s="208"/>
      <c r="G158" s="208"/>
      <c r="H158" s="208"/>
      <c r="I158" s="209"/>
      <c r="J158" s="209"/>
      <c r="K158" s="209"/>
      <c r="L158" s="209"/>
      <c r="M158" s="209"/>
      <c r="N158" s="209"/>
      <c r="O158" s="208"/>
      <c r="P158" s="208"/>
      <c r="Q158" s="208"/>
      <c r="R158" s="208"/>
      <c r="S158" s="211"/>
      <c r="T158" s="208"/>
      <c r="U158" s="208"/>
      <c r="V158" s="208"/>
      <c r="W158" s="208"/>
      <c r="X158" s="208"/>
      <c r="Y158" s="208"/>
      <c r="Z158" s="208"/>
    </row>
    <row r="159" spans="2:26" s="192" customFormat="1" ht="12">
      <c r="B159" s="208"/>
      <c r="C159" s="208"/>
      <c r="D159" s="208"/>
      <c r="E159" s="208"/>
      <c r="F159" s="208"/>
      <c r="G159" s="208"/>
      <c r="H159" s="208"/>
      <c r="I159" s="209"/>
      <c r="J159" s="209"/>
      <c r="K159" s="209"/>
      <c r="L159" s="209"/>
      <c r="M159" s="209"/>
      <c r="N159" s="209"/>
      <c r="O159" s="208"/>
      <c r="P159" s="208"/>
      <c r="Q159" s="208"/>
      <c r="R159" s="208"/>
      <c r="S159" s="211"/>
      <c r="T159" s="208"/>
      <c r="U159" s="208"/>
      <c r="V159" s="208"/>
      <c r="W159" s="208"/>
      <c r="X159" s="208"/>
      <c r="Y159" s="208"/>
      <c r="Z159" s="208"/>
    </row>
    <row r="160" spans="2:26" s="192" customFormat="1" ht="12">
      <c r="B160" s="208"/>
      <c r="C160" s="208"/>
      <c r="D160" s="208"/>
      <c r="E160" s="208"/>
      <c r="F160" s="208"/>
      <c r="G160" s="208"/>
      <c r="H160" s="208"/>
      <c r="I160" s="209"/>
      <c r="J160" s="209"/>
      <c r="K160" s="209"/>
      <c r="L160" s="209"/>
      <c r="M160" s="209"/>
      <c r="N160" s="209"/>
      <c r="O160" s="208"/>
      <c r="P160" s="208"/>
      <c r="Q160" s="208"/>
      <c r="R160" s="208"/>
      <c r="S160" s="211"/>
      <c r="T160" s="208"/>
      <c r="U160" s="208"/>
      <c r="V160" s="208"/>
      <c r="W160" s="208"/>
      <c r="X160" s="208"/>
      <c r="Y160" s="208"/>
      <c r="Z160" s="208"/>
    </row>
    <row r="161" spans="2:26" s="192" customFormat="1" ht="12">
      <c r="B161" s="208"/>
      <c r="C161" s="208"/>
      <c r="D161" s="208"/>
      <c r="E161" s="208"/>
      <c r="F161" s="208"/>
      <c r="G161" s="208"/>
      <c r="H161" s="208"/>
      <c r="I161" s="209"/>
      <c r="J161" s="209"/>
      <c r="K161" s="209"/>
      <c r="L161" s="209"/>
      <c r="M161" s="209"/>
      <c r="N161" s="209"/>
      <c r="O161" s="208"/>
      <c r="P161" s="208"/>
      <c r="Q161" s="208"/>
      <c r="R161" s="208"/>
      <c r="S161" s="211"/>
      <c r="T161" s="208"/>
      <c r="U161" s="208"/>
      <c r="V161" s="208"/>
      <c r="W161" s="208"/>
      <c r="X161" s="208"/>
      <c r="Y161" s="208"/>
      <c r="Z161" s="208"/>
    </row>
    <row r="162" spans="2:26" s="192" customFormat="1" ht="12">
      <c r="B162" s="208"/>
      <c r="C162" s="208"/>
      <c r="D162" s="208"/>
      <c r="E162" s="208"/>
      <c r="F162" s="208"/>
      <c r="G162" s="208"/>
      <c r="H162" s="208"/>
      <c r="I162" s="209"/>
      <c r="J162" s="209"/>
      <c r="K162" s="209"/>
      <c r="L162" s="209"/>
      <c r="M162" s="209"/>
      <c r="N162" s="209"/>
      <c r="O162" s="208"/>
      <c r="P162" s="208"/>
      <c r="Q162" s="208"/>
      <c r="R162" s="208"/>
      <c r="S162" s="211"/>
      <c r="T162" s="208"/>
      <c r="U162" s="208"/>
      <c r="V162" s="208"/>
      <c r="W162" s="208"/>
      <c r="X162" s="208"/>
      <c r="Y162" s="208"/>
      <c r="Z162" s="208"/>
    </row>
    <row r="163" spans="2:26" s="192" customFormat="1" ht="12">
      <c r="B163" s="208"/>
      <c r="C163" s="208"/>
      <c r="D163" s="208"/>
      <c r="E163" s="208"/>
      <c r="F163" s="208"/>
      <c r="G163" s="208"/>
      <c r="H163" s="208"/>
      <c r="I163" s="209"/>
      <c r="J163" s="209"/>
      <c r="K163" s="209"/>
      <c r="L163" s="209"/>
      <c r="M163" s="209"/>
      <c r="N163" s="209"/>
      <c r="O163" s="208"/>
      <c r="P163" s="208"/>
      <c r="Q163" s="208"/>
      <c r="R163" s="208"/>
      <c r="S163" s="211"/>
      <c r="T163" s="208"/>
      <c r="U163" s="208"/>
      <c r="V163" s="208"/>
      <c r="W163" s="208"/>
      <c r="X163" s="208"/>
      <c r="Y163" s="208"/>
      <c r="Z163" s="208"/>
    </row>
    <row r="164" spans="2:26" s="192" customFormat="1" ht="12">
      <c r="B164" s="208"/>
      <c r="C164" s="208"/>
      <c r="D164" s="208"/>
      <c r="E164" s="208"/>
      <c r="F164" s="208"/>
      <c r="G164" s="208"/>
      <c r="H164" s="208"/>
      <c r="I164" s="209"/>
      <c r="J164" s="209"/>
      <c r="K164" s="209"/>
      <c r="L164" s="209"/>
      <c r="M164" s="209"/>
      <c r="N164" s="209"/>
      <c r="O164" s="208"/>
      <c r="P164" s="208"/>
      <c r="Q164" s="208"/>
      <c r="R164" s="208"/>
      <c r="S164" s="211"/>
      <c r="T164" s="208"/>
      <c r="U164" s="208"/>
      <c r="V164" s="208"/>
      <c r="W164" s="208"/>
      <c r="X164" s="208"/>
      <c r="Y164" s="208"/>
      <c r="Z164" s="208"/>
    </row>
    <row r="165" spans="2:26" s="192" customFormat="1" ht="12">
      <c r="B165" s="208"/>
      <c r="C165" s="208"/>
      <c r="D165" s="208"/>
      <c r="E165" s="208"/>
      <c r="F165" s="208"/>
      <c r="G165" s="208"/>
      <c r="H165" s="208"/>
      <c r="I165" s="209"/>
      <c r="J165" s="209"/>
      <c r="K165" s="209"/>
      <c r="L165" s="209"/>
      <c r="M165" s="209"/>
      <c r="N165" s="209"/>
      <c r="O165" s="208"/>
      <c r="P165" s="208"/>
      <c r="Q165" s="208"/>
      <c r="R165" s="208"/>
      <c r="S165" s="211"/>
      <c r="T165" s="208"/>
      <c r="U165" s="208"/>
      <c r="V165" s="208"/>
      <c r="W165" s="208"/>
      <c r="X165" s="208"/>
      <c r="Y165" s="208"/>
      <c r="Z165" s="208"/>
    </row>
    <row r="166" spans="2:26" s="192" customFormat="1" ht="12">
      <c r="B166" s="208"/>
      <c r="C166" s="208"/>
      <c r="D166" s="208"/>
      <c r="E166" s="208"/>
      <c r="F166" s="208"/>
      <c r="G166" s="208"/>
      <c r="H166" s="208"/>
      <c r="I166" s="209"/>
      <c r="J166" s="209"/>
      <c r="K166" s="209"/>
      <c r="L166" s="209"/>
      <c r="M166" s="209"/>
      <c r="N166" s="209"/>
      <c r="O166" s="208"/>
      <c r="P166" s="208"/>
      <c r="Q166" s="208"/>
      <c r="R166" s="208"/>
      <c r="S166" s="211"/>
      <c r="T166" s="208"/>
      <c r="U166" s="208"/>
      <c r="V166" s="208"/>
      <c r="W166" s="208"/>
      <c r="X166" s="208"/>
      <c r="Y166" s="208"/>
      <c r="Z166" s="208"/>
    </row>
    <row r="167" spans="2:26" s="192" customFormat="1" ht="12">
      <c r="B167" s="208"/>
      <c r="C167" s="208"/>
      <c r="D167" s="208"/>
      <c r="E167" s="208"/>
      <c r="F167" s="208"/>
      <c r="G167" s="208"/>
      <c r="H167" s="208"/>
      <c r="I167" s="209"/>
      <c r="J167" s="209"/>
      <c r="K167" s="209"/>
      <c r="L167" s="209"/>
      <c r="M167" s="209"/>
      <c r="N167" s="209"/>
      <c r="O167" s="208"/>
      <c r="P167" s="208"/>
      <c r="Q167" s="208"/>
      <c r="R167" s="208"/>
      <c r="S167" s="211"/>
      <c r="T167" s="208"/>
      <c r="U167" s="208"/>
      <c r="V167" s="208"/>
      <c r="W167" s="208"/>
      <c r="X167" s="208"/>
      <c r="Y167" s="208"/>
      <c r="Z167" s="208"/>
    </row>
    <row r="168" spans="2:26" s="192" customFormat="1" ht="12">
      <c r="B168" s="208"/>
      <c r="C168" s="208"/>
      <c r="D168" s="208"/>
      <c r="E168" s="208"/>
      <c r="F168" s="208"/>
      <c r="G168" s="208"/>
      <c r="H168" s="208"/>
      <c r="I168" s="209"/>
      <c r="J168" s="209"/>
      <c r="K168" s="209"/>
      <c r="L168" s="209"/>
      <c r="M168" s="209"/>
      <c r="N168" s="209"/>
      <c r="O168" s="208"/>
      <c r="P168" s="208"/>
      <c r="Q168" s="208"/>
      <c r="R168" s="208"/>
      <c r="S168" s="211"/>
      <c r="T168" s="208"/>
      <c r="U168" s="208"/>
      <c r="V168" s="208"/>
      <c r="W168" s="208"/>
      <c r="X168" s="208"/>
      <c r="Y168" s="208"/>
      <c r="Z168" s="208"/>
    </row>
    <row r="169" spans="2:26" s="192" customFormat="1" ht="12">
      <c r="B169" s="208"/>
      <c r="C169" s="208"/>
      <c r="D169" s="208"/>
      <c r="E169" s="208"/>
      <c r="F169" s="208"/>
      <c r="G169" s="208"/>
      <c r="H169" s="208"/>
      <c r="I169" s="209"/>
      <c r="J169" s="209"/>
      <c r="K169" s="209"/>
      <c r="L169" s="209"/>
      <c r="M169" s="209"/>
      <c r="N169" s="209"/>
      <c r="O169" s="208"/>
      <c r="P169" s="208"/>
      <c r="Q169" s="208"/>
      <c r="R169" s="208"/>
      <c r="S169" s="211"/>
      <c r="T169" s="208"/>
      <c r="U169" s="208"/>
      <c r="V169" s="208"/>
      <c r="W169" s="208"/>
      <c r="X169" s="208"/>
      <c r="Y169" s="208"/>
      <c r="Z169" s="208"/>
    </row>
    <row r="170" spans="2:26" s="192" customFormat="1" ht="12">
      <c r="B170" s="208"/>
      <c r="C170" s="208"/>
      <c r="D170" s="208"/>
      <c r="E170" s="208"/>
      <c r="F170" s="208"/>
      <c r="G170" s="208"/>
      <c r="H170" s="208"/>
      <c r="I170" s="209"/>
      <c r="J170" s="209"/>
      <c r="K170" s="209"/>
      <c r="L170" s="209"/>
      <c r="M170" s="209"/>
      <c r="N170" s="209"/>
      <c r="O170" s="208"/>
      <c r="P170" s="208"/>
      <c r="Q170" s="208"/>
      <c r="R170" s="208"/>
      <c r="S170" s="211"/>
      <c r="T170" s="208"/>
      <c r="U170" s="208"/>
      <c r="V170" s="208"/>
      <c r="W170" s="208"/>
      <c r="X170" s="208"/>
      <c r="Y170" s="208"/>
      <c r="Z170" s="208"/>
    </row>
    <row r="171" spans="2:26" s="192" customFormat="1" ht="12">
      <c r="B171" s="208"/>
      <c r="C171" s="208"/>
      <c r="D171" s="208"/>
      <c r="E171" s="208"/>
      <c r="F171" s="208"/>
      <c r="G171" s="208"/>
      <c r="H171" s="208"/>
      <c r="I171" s="209"/>
      <c r="J171" s="209"/>
      <c r="K171" s="209"/>
      <c r="L171" s="209"/>
      <c r="M171" s="209"/>
      <c r="N171" s="209"/>
      <c r="O171" s="208"/>
      <c r="P171" s="208"/>
      <c r="Q171" s="208"/>
      <c r="R171" s="208"/>
      <c r="S171" s="211"/>
      <c r="T171" s="208"/>
      <c r="U171" s="208"/>
      <c r="V171" s="208"/>
      <c r="W171" s="208"/>
      <c r="X171" s="208"/>
      <c r="Y171" s="208"/>
      <c r="Z171" s="208"/>
    </row>
    <row r="172" spans="2:26" s="192" customFormat="1" ht="12">
      <c r="B172" s="208"/>
      <c r="C172" s="208"/>
      <c r="D172" s="208"/>
      <c r="E172" s="208"/>
      <c r="F172" s="208"/>
      <c r="G172" s="208"/>
      <c r="H172" s="208"/>
      <c r="I172" s="209"/>
      <c r="J172" s="209"/>
      <c r="K172" s="209"/>
      <c r="L172" s="209"/>
      <c r="M172" s="209"/>
      <c r="N172" s="209"/>
      <c r="O172" s="208"/>
      <c r="P172" s="208"/>
      <c r="Q172" s="208"/>
      <c r="R172" s="208"/>
      <c r="S172" s="211"/>
      <c r="T172" s="208"/>
      <c r="U172" s="208"/>
      <c r="V172" s="208"/>
      <c r="W172" s="208"/>
      <c r="X172" s="208"/>
      <c r="Y172" s="208"/>
      <c r="Z172" s="208"/>
    </row>
    <row r="173" spans="2:26" s="192" customFormat="1" ht="12">
      <c r="B173" s="208"/>
      <c r="C173" s="208"/>
      <c r="D173" s="208"/>
      <c r="E173" s="208"/>
      <c r="F173" s="208"/>
      <c r="G173" s="208"/>
      <c r="H173" s="208"/>
      <c r="I173" s="209"/>
      <c r="J173" s="209"/>
      <c r="K173" s="209"/>
      <c r="L173" s="209"/>
      <c r="M173" s="209"/>
      <c r="N173" s="209"/>
      <c r="O173" s="208"/>
      <c r="P173" s="208"/>
      <c r="Q173" s="208"/>
      <c r="R173" s="208"/>
      <c r="S173" s="211"/>
      <c r="T173" s="208"/>
      <c r="U173" s="208"/>
      <c r="V173" s="208"/>
      <c r="W173" s="208"/>
      <c r="X173" s="208"/>
      <c r="Y173" s="208"/>
      <c r="Z173" s="208"/>
    </row>
    <row r="174" spans="2:26" s="192" customFormat="1" ht="12">
      <c r="B174" s="208"/>
      <c r="C174" s="208"/>
      <c r="D174" s="208"/>
      <c r="E174" s="208"/>
      <c r="F174" s="208"/>
      <c r="G174" s="208"/>
      <c r="H174" s="208"/>
      <c r="I174" s="209"/>
      <c r="J174" s="209"/>
      <c r="K174" s="209"/>
      <c r="L174" s="209"/>
      <c r="M174" s="209"/>
      <c r="N174" s="209"/>
      <c r="O174" s="208"/>
      <c r="P174" s="208"/>
      <c r="Q174" s="208"/>
      <c r="R174" s="208"/>
      <c r="S174" s="211"/>
      <c r="T174" s="208"/>
      <c r="U174" s="208"/>
      <c r="V174" s="208"/>
      <c r="W174" s="208"/>
      <c r="X174" s="208"/>
      <c r="Y174" s="208"/>
      <c r="Z174" s="208"/>
    </row>
    <row r="175" spans="2:26" s="192" customFormat="1" ht="12">
      <c r="B175" s="208"/>
      <c r="C175" s="208"/>
      <c r="D175" s="208"/>
      <c r="E175" s="208"/>
      <c r="F175" s="208"/>
      <c r="G175" s="208"/>
      <c r="H175" s="208"/>
      <c r="I175" s="209"/>
      <c r="J175" s="209"/>
      <c r="K175" s="209"/>
      <c r="L175" s="209"/>
      <c r="M175" s="209"/>
      <c r="N175" s="209"/>
      <c r="O175" s="208"/>
      <c r="P175" s="208"/>
      <c r="Q175" s="208"/>
      <c r="R175" s="208"/>
      <c r="S175" s="211"/>
      <c r="T175" s="208"/>
      <c r="U175" s="208"/>
      <c r="V175" s="208"/>
      <c r="W175" s="208"/>
      <c r="X175" s="208"/>
      <c r="Y175" s="208"/>
      <c r="Z175" s="208"/>
    </row>
    <row r="176" spans="2:26" s="192" customFormat="1" ht="12">
      <c r="B176" s="208"/>
      <c r="C176" s="208"/>
      <c r="D176" s="208"/>
      <c r="E176" s="208"/>
      <c r="F176" s="208"/>
      <c r="G176" s="208"/>
      <c r="H176" s="208"/>
      <c r="I176" s="209"/>
      <c r="J176" s="209"/>
      <c r="K176" s="209"/>
      <c r="L176" s="209"/>
      <c r="M176" s="209"/>
      <c r="N176" s="209"/>
      <c r="O176" s="208"/>
      <c r="P176" s="208"/>
      <c r="Q176" s="208"/>
      <c r="R176" s="208"/>
      <c r="S176" s="211"/>
      <c r="T176" s="208"/>
      <c r="U176" s="208"/>
      <c r="V176" s="208"/>
      <c r="W176" s="208"/>
      <c r="X176" s="208"/>
      <c r="Y176" s="208"/>
      <c r="Z176" s="208"/>
    </row>
    <row r="177" spans="2:26" s="192" customFormat="1" ht="12">
      <c r="B177" s="208"/>
      <c r="C177" s="208"/>
      <c r="D177" s="208"/>
      <c r="E177" s="208"/>
      <c r="F177" s="208"/>
      <c r="G177" s="208"/>
      <c r="H177" s="208"/>
      <c r="I177" s="209"/>
      <c r="J177" s="209"/>
      <c r="K177" s="209"/>
      <c r="L177" s="209"/>
      <c r="M177" s="209"/>
      <c r="N177" s="209"/>
      <c r="O177" s="208"/>
      <c r="P177" s="208"/>
      <c r="Q177" s="208"/>
      <c r="R177" s="208"/>
      <c r="S177" s="211"/>
      <c r="T177" s="208"/>
      <c r="U177" s="208"/>
      <c r="V177" s="208"/>
      <c r="W177" s="208"/>
      <c r="X177" s="208"/>
      <c r="Y177" s="208"/>
      <c r="Z177" s="208"/>
    </row>
    <row r="178" spans="2:26" s="192" customFormat="1" ht="12">
      <c r="B178" s="208"/>
      <c r="C178" s="208"/>
      <c r="D178" s="208"/>
      <c r="E178" s="208"/>
      <c r="F178" s="208"/>
      <c r="G178" s="208"/>
      <c r="H178" s="208"/>
      <c r="I178" s="209"/>
      <c r="J178" s="209"/>
      <c r="K178" s="209"/>
      <c r="L178" s="209"/>
      <c r="M178" s="209"/>
      <c r="N178" s="209"/>
      <c r="O178" s="208"/>
      <c r="P178" s="208"/>
      <c r="Q178" s="208"/>
      <c r="R178" s="208"/>
      <c r="S178" s="211"/>
      <c r="T178" s="208"/>
      <c r="U178" s="208"/>
      <c r="V178" s="208"/>
      <c r="W178" s="208"/>
      <c r="X178" s="208"/>
      <c r="Y178" s="208"/>
      <c r="Z178" s="208"/>
    </row>
    <row r="179" spans="2:26" s="192" customFormat="1" ht="12">
      <c r="B179" s="208"/>
      <c r="C179" s="208"/>
      <c r="D179" s="208"/>
      <c r="E179" s="208"/>
      <c r="F179" s="208"/>
      <c r="G179" s="208"/>
      <c r="H179" s="208"/>
      <c r="I179" s="209"/>
      <c r="J179" s="209"/>
      <c r="K179" s="209"/>
      <c r="L179" s="209"/>
      <c r="M179" s="209"/>
      <c r="N179" s="209"/>
      <c r="O179" s="208"/>
      <c r="P179" s="208"/>
      <c r="Q179" s="208"/>
      <c r="R179" s="208"/>
      <c r="S179" s="211"/>
      <c r="T179" s="208"/>
      <c r="U179" s="208"/>
      <c r="V179" s="208"/>
      <c r="W179" s="208"/>
      <c r="X179" s="208"/>
      <c r="Y179" s="208"/>
      <c r="Z179" s="208"/>
    </row>
    <row r="180" spans="2:26" s="192" customFormat="1" ht="12">
      <c r="B180" s="208"/>
      <c r="C180" s="208"/>
      <c r="D180" s="208"/>
      <c r="E180" s="208"/>
      <c r="F180" s="208"/>
      <c r="G180" s="208"/>
      <c r="H180" s="208"/>
      <c r="I180" s="209"/>
      <c r="J180" s="209"/>
      <c r="K180" s="209"/>
      <c r="L180" s="209"/>
      <c r="M180" s="209"/>
      <c r="N180" s="209"/>
      <c r="O180" s="208"/>
      <c r="P180" s="208"/>
      <c r="Q180" s="208"/>
      <c r="R180" s="208"/>
      <c r="S180" s="211"/>
      <c r="T180" s="208"/>
      <c r="U180" s="208"/>
      <c r="V180" s="208"/>
      <c r="W180" s="208"/>
      <c r="X180" s="208"/>
      <c r="Y180" s="208"/>
      <c r="Z180" s="208"/>
    </row>
    <row r="181" spans="2:26" s="192" customFormat="1" ht="12">
      <c r="B181" s="208"/>
      <c r="C181" s="208"/>
      <c r="D181" s="208"/>
      <c r="E181" s="208"/>
      <c r="F181" s="208"/>
      <c r="G181" s="208"/>
      <c r="H181" s="208"/>
      <c r="I181" s="209"/>
      <c r="J181" s="209"/>
      <c r="K181" s="209"/>
      <c r="L181" s="209"/>
      <c r="M181" s="209"/>
      <c r="N181" s="209"/>
      <c r="O181" s="208"/>
      <c r="P181" s="208"/>
      <c r="Q181" s="208"/>
      <c r="R181" s="208"/>
      <c r="S181" s="211"/>
      <c r="T181" s="208"/>
      <c r="U181" s="208"/>
      <c r="V181" s="208"/>
      <c r="W181" s="208"/>
      <c r="X181" s="208"/>
      <c r="Y181" s="208"/>
      <c r="Z181" s="208"/>
    </row>
    <row r="182" spans="2:26" s="192" customFormat="1" ht="12">
      <c r="B182" s="208"/>
      <c r="C182" s="208"/>
      <c r="D182" s="208"/>
      <c r="E182" s="208"/>
      <c r="F182" s="208"/>
      <c r="G182" s="208"/>
      <c r="H182" s="208"/>
      <c r="I182" s="209"/>
      <c r="J182" s="209"/>
      <c r="K182" s="209"/>
      <c r="L182" s="209"/>
      <c r="M182" s="209"/>
      <c r="N182" s="209"/>
      <c r="O182" s="208"/>
      <c r="P182" s="208"/>
      <c r="Q182" s="208"/>
      <c r="R182" s="208"/>
      <c r="S182" s="211"/>
      <c r="T182" s="208"/>
      <c r="U182" s="208"/>
      <c r="V182" s="208"/>
      <c r="W182" s="208"/>
      <c r="X182" s="208"/>
      <c r="Y182" s="208"/>
      <c r="Z182" s="208"/>
    </row>
    <row r="183" spans="2:26" s="192" customFormat="1" ht="12">
      <c r="B183" s="208"/>
      <c r="C183" s="208"/>
      <c r="D183" s="208"/>
      <c r="E183" s="208"/>
      <c r="F183" s="208"/>
      <c r="G183" s="208"/>
      <c r="H183" s="208"/>
      <c r="I183" s="209"/>
      <c r="J183" s="209"/>
      <c r="K183" s="209"/>
      <c r="L183" s="209"/>
      <c r="M183" s="209"/>
      <c r="N183" s="209"/>
      <c r="O183" s="208"/>
      <c r="P183" s="208"/>
      <c r="Q183" s="208"/>
      <c r="R183" s="208"/>
      <c r="S183" s="211"/>
      <c r="T183" s="208"/>
      <c r="U183" s="208"/>
      <c r="V183" s="208"/>
      <c r="W183" s="208"/>
      <c r="X183" s="208"/>
      <c r="Y183" s="208"/>
      <c r="Z183" s="208"/>
    </row>
    <row r="184" spans="2:26" s="192" customFormat="1" ht="12">
      <c r="B184" s="208"/>
      <c r="C184" s="208"/>
      <c r="D184" s="208"/>
      <c r="E184" s="208"/>
      <c r="F184" s="208"/>
      <c r="G184" s="208"/>
      <c r="H184" s="208"/>
      <c r="I184" s="209"/>
      <c r="J184" s="209"/>
      <c r="K184" s="209"/>
      <c r="L184" s="209"/>
      <c r="M184" s="209"/>
      <c r="N184" s="209"/>
      <c r="O184" s="208"/>
      <c r="P184" s="208"/>
      <c r="Q184" s="208"/>
      <c r="R184" s="208"/>
      <c r="S184" s="211"/>
      <c r="T184" s="208"/>
      <c r="U184" s="208"/>
      <c r="V184" s="208"/>
      <c r="W184" s="208"/>
      <c r="X184" s="208"/>
      <c r="Y184" s="208"/>
      <c r="Z184" s="208"/>
    </row>
    <row r="185" spans="2:26" s="192" customFormat="1" ht="12">
      <c r="B185" s="208"/>
      <c r="C185" s="208"/>
      <c r="D185" s="208"/>
      <c r="E185" s="208"/>
      <c r="F185" s="208"/>
      <c r="G185" s="208"/>
      <c r="H185" s="208"/>
      <c r="I185" s="209"/>
      <c r="J185" s="209"/>
      <c r="K185" s="209"/>
      <c r="L185" s="209"/>
      <c r="M185" s="209"/>
      <c r="N185" s="209"/>
      <c r="O185" s="208"/>
      <c r="P185" s="208"/>
      <c r="Q185" s="208"/>
      <c r="R185" s="208"/>
      <c r="S185" s="211"/>
      <c r="T185" s="208"/>
      <c r="U185" s="208"/>
      <c r="V185" s="208"/>
      <c r="W185" s="208"/>
      <c r="X185" s="208"/>
      <c r="Y185" s="208"/>
      <c r="Z185" s="208"/>
    </row>
    <row r="186" spans="2:26" s="192" customFormat="1" ht="12">
      <c r="B186" s="208"/>
      <c r="C186" s="208"/>
      <c r="D186" s="208"/>
      <c r="E186" s="208"/>
      <c r="F186" s="208"/>
      <c r="G186" s="208"/>
      <c r="H186" s="208"/>
      <c r="I186" s="209"/>
      <c r="J186" s="209"/>
      <c r="K186" s="209"/>
      <c r="L186" s="209"/>
      <c r="M186" s="209"/>
      <c r="N186" s="209"/>
      <c r="O186" s="208"/>
      <c r="P186" s="208"/>
      <c r="Q186" s="208"/>
      <c r="R186" s="208"/>
      <c r="S186" s="211"/>
      <c r="T186" s="208"/>
      <c r="U186" s="208"/>
      <c r="V186" s="208"/>
      <c r="W186" s="208"/>
      <c r="X186" s="208"/>
      <c r="Y186" s="208"/>
      <c r="Z186" s="208"/>
    </row>
    <row r="187" spans="2:26" s="192" customFormat="1" ht="12">
      <c r="B187" s="208"/>
      <c r="C187" s="208"/>
      <c r="D187" s="208"/>
      <c r="E187" s="208"/>
      <c r="F187" s="208"/>
      <c r="G187" s="208"/>
      <c r="H187" s="208"/>
      <c r="I187" s="209"/>
      <c r="J187" s="209"/>
      <c r="K187" s="209"/>
      <c r="L187" s="209"/>
      <c r="M187" s="209"/>
      <c r="N187" s="209"/>
      <c r="O187" s="208"/>
      <c r="P187" s="208"/>
      <c r="Q187" s="208"/>
      <c r="R187" s="208"/>
      <c r="S187" s="211"/>
      <c r="T187" s="208"/>
      <c r="U187" s="208"/>
      <c r="V187" s="208"/>
      <c r="W187" s="208"/>
      <c r="X187" s="208"/>
      <c r="Y187" s="208"/>
      <c r="Z187" s="208"/>
    </row>
    <row r="188" spans="2:26" s="192" customFormat="1" ht="12">
      <c r="B188" s="208"/>
      <c r="C188" s="208"/>
      <c r="D188" s="208"/>
      <c r="E188" s="208"/>
      <c r="F188" s="208"/>
      <c r="G188" s="208"/>
      <c r="H188" s="208"/>
      <c r="I188" s="209"/>
      <c r="J188" s="209"/>
      <c r="K188" s="209"/>
      <c r="L188" s="209"/>
      <c r="M188" s="209"/>
      <c r="N188" s="209"/>
      <c r="O188" s="208"/>
      <c r="P188" s="208"/>
      <c r="Q188" s="208"/>
      <c r="R188" s="208"/>
      <c r="S188" s="211"/>
      <c r="T188" s="208"/>
      <c r="U188" s="208"/>
      <c r="V188" s="208"/>
      <c r="W188" s="208"/>
      <c r="X188" s="208"/>
      <c r="Y188" s="208"/>
      <c r="Z188" s="208"/>
    </row>
    <row r="189" spans="2:26" s="192" customFormat="1" ht="12">
      <c r="B189" s="208"/>
      <c r="C189" s="208"/>
      <c r="D189" s="208"/>
      <c r="E189" s="208"/>
      <c r="F189" s="208"/>
      <c r="G189" s="208"/>
      <c r="H189" s="208"/>
      <c r="I189" s="209"/>
      <c r="J189" s="209"/>
      <c r="K189" s="209"/>
      <c r="L189" s="209"/>
      <c r="M189" s="209"/>
      <c r="N189" s="209"/>
      <c r="O189" s="208"/>
      <c r="P189" s="208"/>
      <c r="Q189" s="208"/>
      <c r="R189" s="208"/>
      <c r="S189" s="211"/>
      <c r="T189" s="208"/>
      <c r="U189" s="208"/>
      <c r="V189" s="208"/>
      <c r="W189" s="208"/>
      <c r="X189" s="208"/>
      <c r="Y189" s="208"/>
      <c r="Z189" s="208"/>
    </row>
    <row r="190" spans="2:26" s="192" customFormat="1" ht="12">
      <c r="B190" s="208"/>
      <c r="C190" s="208"/>
      <c r="D190" s="208"/>
      <c r="E190" s="208"/>
      <c r="F190" s="208"/>
      <c r="G190" s="208"/>
      <c r="H190" s="208"/>
      <c r="I190" s="209"/>
      <c r="J190" s="209"/>
      <c r="K190" s="209"/>
      <c r="L190" s="209"/>
      <c r="M190" s="209"/>
      <c r="N190" s="209"/>
      <c r="O190" s="208"/>
      <c r="P190" s="208"/>
      <c r="Q190" s="208"/>
      <c r="R190" s="208"/>
      <c r="S190" s="211"/>
      <c r="T190" s="208"/>
      <c r="U190" s="208"/>
      <c r="V190" s="208"/>
      <c r="W190" s="208"/>
      <c r="X190" s="208"/>
      <c r="Y190" s="208"/>
      <c r="Z190" s="208"/>
    </row>
    <row r="191" spans="2:26" s="192" customFormat="1" ht="12">
      <c r="B191" s="208"/>
      <c r="C191" s="208"/>
      <c r="D191" s="208"/>
      <c r="E191" s="208"/>
      <c r="F191" s="208"/>
      <c r="G191" s="208"/>
      <c r="H191" s="208"/>
      <c r="I191" s="209"/>
      <c r="J191" s="209"/>
      <c r="K191" s="209"/>
      <c r="L191" s="209"/>
      <c r="M191" s="209"/>
      <c r="N191" s="209"/>
      <c r="O191" s="208"/>
      <c r="P191" s="208"/>
      <c r="Q191" s="208"/>
      <c r="R191" s="208"/>
      <c r="S191" s="211"/>
      <c r="T191" s="208"/>
      <c r="U191" s="208"/>
      <c r="V191" s="208"/>
      <c r="W191" s="208"/>
      <c r="X191" s="208"/>
      <c r="Y191" s="208"/>
      <c r="Z191" s="208"/>
    </row>
    <row r="192" spans="2:26" s="192" customFormat="1" ht="12">
      <c r="B192" s="208"/>
      <c r="C192" s="208"/>
      <c r="D192" s="208"/>
      <c r="E192" s="208"/>
      <c r="F192" s="208"/>
      <c r="G192" s="208"/>
      <c r="H192" s="208"/>
      <c r="I192" s="209"/>
      <c r="J192" s="209"/>
      <c r="K192" s="209"/>
      <c r="L192" s="209"/>
      <c r="M192" s="209"/>
      <c r="N192" s="209"/>
      <c r="O192" s="208"/>
      <c r="P192" s="208"/>
      <c r="Q192" s="208"/>
      <c r="R192" s="208"/>
      <c r="S192" s="211"/>
      <c r="T192" s="208"/>
      <c r="U192" s="208"/>
      <c r="V192" s="208"/>
      <c r="W192" s="208"/>
      <c r="X192" s="208"/>
      <c r="Y192" s="208"/>
      <c r="Z192" s="208"/>
    </row>
    <row r="193" spans="2:26" s="192" customFormat="1" ht="12">
      <c r="B193" s="208"/>
      <c r="C193" s="208"/>
      <c r="D193" s="208"/>
      <c r="E193" s="208"/>
      <c r="F193" s="208"/>
      <c r="G193" s="208"/>
      <c r="H193" s="208"/>
      <c r="I193" s="209"/>
      <c r="J193" s="209"/>
      <c r="K193" s="209"/>
      <c r="L193" s="209"/>
      <c r="M193" s="209"/>
      <c r="N193" s="209"/>
      <c r="O193" s="208"/>
      <c r="P193" s="208"/>
      <c r="Q193" s="208"/>
      <c r="R193" s="208"/>
      <c r="S193" s="211"/>
      <c r="T193" s="208"/>
      <c r="U193" s="208"/>
      <c r="V193" s="208"/>
      <c r="W193" s="208"/>
      <c r="X193" s="208"/>
      <c r="Y193" s="208"/>
      <c r="Z193" s="208"/>
    </row>
    <row r="194" spans="2:26" s="192" customFormat="1" ht="12">
      <c r="B194" s="208"/>
      <c r="C194" s="208"/>
      <c r="D194" s="208"/>
      <c r="E194" s="208"/>
      <c r="F194" s="208"/>
      <c r="G194" s="208"/>
      <c r="H194" s="208"/>
      <c r="I194" s="209"/>
      <c r="J194" s="209"/>
      <c r="K194" s="209"/>
      <c r="L194" s="209"/>
      <c r="M194" s="209"/>
      <c r="N194" s="209"/>
      <c r="O194" s="208"/>
      <c r="P194" s="208"/>
      <c r="Q194" s="208"/>
      <c r="R194" s="208"/>
      <c r="S194" s="211"/>
      <c r="T194" s="208"/>
      <c r="U194" s="208"/>
      <c r="V194" s="208"/>
      <c r="W194" s="208"/>
      <c r="X194" s="208"/>
      <c r="Y194" s="208"/>
      <c r="Z194" s="208"/>
    </row>
    <row r="195" spans="2:26" s="192" customFormat="1" ht="12">
      <c r="B195" s="208"/>
      <c r="C195" s="208"/>
      <c r="D195" s="208"/>
      <c r="E195" s="208"/>
      <c r="F195" s="208"/>
      <c r="G195" s="208"/>
      <c r="H195" s="208"/>
      <c r="I195" s="209"/>
      <c r="J195" s="209"/>
      <c r="K195" s="209"/>
      <c r="L195" s="209"/>
      <c r="M195" s="209"/>
      <c r="N195" s="209"/>
      <c r="O195" s="208"/>
      <c r="P195" s="208"/>
      <c r="Q195" s="208"/>
      <c r="R195" s="208"/>
      <c r="S195" s="211"/>
      <c r="T195" s="208"/>
      <c r="U195" s="208"/>
      <c r="V195" s="208"/>
      <c r="W195" s="208"/>
      <c r="X195" s="208"/>
      <c r="Y195" s="208"/>
      <c r="Z195" s="208"/>
    </row>
    <row r="196" spans="2:26" s="192" customFormat="1" ht="12">
      <c r="B196" s="208"/>
      <c r="C196" s="208"/>
      <c r="D196" s="208"/>
      <c r="E196" s="208"/>
      <c r="F196" s="208"/>
      <c r="G196" s="208"/>
      <c r="H196" s="208"/>
      <c r="I196" s="209"/>
      <c r="J196" s="209"/>
      <c r="K196" s="209"/>
      <c r="L196" s="209"/>
      <c r="M196" s="209"/>
      <c r="N196" s="209"/>
      <c r="O196" s="208"/>
      <c r="P196" s="208"/>
      <c r="Q196" s="208"/>
      <c r="R196" s="208"/>
      <c r="S196" s="211"/>
      <c r="T196" s="208"/>
      <c r="U196" s="208"/>
      <c r="V196" s="208"/>
      <c r="W196" s="208"/>
      <c r="X196" s="208"/>
      <c r="Y196" s="208"/>
      <c r="Z196" s="208"/>
    </row>
    <row r="197" spans="2:26" s="192" customFormat="1" ht="12">
      <c r="B197" s="208"/>
      <c r="C197" s="208"/>
      <c r="D197" s="208"/>
      <c r="E197" s="208"/>
      <c r="F197" s="208"/>
      <c r="G197" s="208"/>
      <c r="H197" s="208"/>
      <c r="I197" s="209"/>
      <c r="J197" s="209"/>
      <c r="K197" s="209"/>
      <c r="L197" s="209"/>
      <c r="M197" s="209"/>
      <c r="N197" s="209"/>
      <c r="O197" s="208"/>
      <c r="P197" s="208"/>
      <c r="Q197" s="208"/>
      <c r="R197" s="208"/>
      <c r="S197" s="211"/>
      <c r="T197" s="208"/>
      <c r="U197" s="208"/>
      <c r="V197" s="208"/>
      <c r="W197" s="208"/>
      <c r="X197" s="208"/>
      <c r="Y197" s="208"/>
      <c r="Z197" s="208"/>
    </row>
    <row r="198" spans="2:26" s="192" customFormat="1" ht="12">
      <c r="B198" s="208"/>
      <c r="C198" s="208"/>
      <c r="D198" s="208"/>
      <c r="E198" s="208"/>
      <c r="F198" s="208"/>
      <c r="G198" s="208"/>
      <c r="H198" s="208"/>
      <c r="I198" s="209"/>
      <c r="J198" s="209"/>
      <c r="K198" s="209"/>
      <c r="L198" s="209"/>
      <c r="M198" s="209"/>
      <c r="N198" s="209"/>
      <c r="O198" s="208"/>
      <c r="P198" s="208"/>
      <c r="Q198" s="208"/>
      <c r="R198" s="208"/>
      <c r="S198" s="211"/>
      <c r="T198" s="208"/>
      <c r="U198" s="208"/>
      <c r="V198" s="208"/>
      <c r="W198" s="208"/>
      <c r="X198" s="208"/>
      <c r="Y198" s="208"/>
      <c r="Z198" s="208"/>
    </row>
    <row r="199" spans="2:26" s="192" customFormat="1" ht="12">
      <c r="B199" s="208"/>
      <c r="C199" s="208"/>
      <c r="D199" s="208"/>
      <c r="E199" s="208"/>
      <c r="F199" s="208"/>
      <c r="G199" s="208"/>
      <c r="H199" s="208"/>
      <c r="I199" s="209"/>
      <c r="J199" s="209"/>
      <c r="K199" s="209"/>
      <c r="L199" s="209"/>
      <c r="M199" s="209"/>
      <c r="N199" s="209"/>
      <c r="O199" s="208"/>
      <c r="P199" s="208"/>
      <c r="Q199" s="208"/>
      <c r="R199" s="208"/>
      <c r="S199" s="211"/>
      <c r="T199" s="208"/>
      <c r="U199" s="208"/>
      <c r="V199" s="208"/>
      <c r="W199" s="208"/>
      <c r="X199" s="208"/>
      <c r="Y199" s="208"/>
      <c r="Z199" s="208"/>
    </row>
    <row r="200" spans="2:26" s="192" customFormat="1" ht="12">
      <c r="B200" s="208"/>
      <c r="C200" s="208"/>
      <c r="D200" s="208"/>
      <c r="E200" s="208"/>
      <c r="F200" s="208"/>
      <c r="G200" s="208"/>
      <c r="H200" s="208"/>
      <c r="I200" s="209"/>
      <c r="J200" s="209"/>
      <c r="K200" s="209"/>
      <c r="L200" s="209"/>
      <c r="M200" s="209"/>
      <c r="N200" s="209"/>
      <c r="O200" s="208"/>
      <c r="P200" s="208"/>
      <c r="Q200" s="208"/>
      <c r="R200" s="208"/>
      <c r="S200" s="211"/>
      <c r="T200" s="208"/>
      <c r="U200" s="208"/>
      <c r="V200" s="208"/>
      <c r="W200" s="208"/>
      <c r="X200" s="208"/>
      <c r="Y200" s="208"/>
      <c r="Z200" s="208"/>
    </row>
    <row r="201" spans="2:26" s="192" customFormat="1" ht="12">
      <c r="B201" s="208"/>
      <c r="C201" s="208"/>
      <c r="D201" s="208"/>
      <c r="E201" s="208"/>
      <c r="F201" s="208"/>
      <c r="G201" s="208"/>
      <c r="H201" s="208"/>
      <c r="I201" s="209"/>
      <c r="J201" s="209"/>
      <c r="K201" s="209"/>
      <c r="L201" s="209"/>
      <c r="M201" s="209"/>
      <c r="N201" s="209"/>
      <c r="O201" s="208"/>
      <c r="P201" s="208"/>
      <c r="Q201" s="208"/>
      <c r="R201" s="208"/>
      <c r="S201" s="211"/>
      <c r="T201" s="208"/>
      <c r="U201" s="208"/>
      <c r="V201" s="208"/>
      <c r="W201" s="208"/>
      <c r="X201" s="208"/>
      <c r="Y201" s="208"/>
      <c r="Z201" s="208"/>
    </row>
    <row r="202" spans="2:26" s="192" customFormat="1" ht="12">
      <c r="B202" s="208"/>
      <c r="C202" s="208"/>
      <c r="D202" s="208"/>
      <c r="E202" s="208"/>
      <c r="F202" s="208"/>
      <c r="G202" s="208"/>
      <c r="H202" s="208"/>
      <c r="I202" s="209"/>
      <c r="J202" s="209"/>
      <c r="K202" s="209"/>
      <c r="L202" s="209"/>
      <c r="M202" s="209"/>
      <c r="N202" s="209"/>
      <c r="O202" s="208"/>
      <c r="P202" s="208"/>
      <c r="Q202" s="208"/>
      <c r="R202" s="208"/>
      <c r="S202" s="211"/>
      <c r="T202" s="208"/>
      <c r="U202" s="208"/>
      <c r="V202" s="208"/>
      <c r="W202" s="208"/>
      <c r="X202" s="208"/>
      <c r="Y202" s="208"/>
      <c r="Z202" s="208"/>
    </row>
    <row r="203" spans="2:26" s="192" customFormat="1" ht="12">
      <c r="B203" s="208"/>
      <c r="C203" s="208"/>
      <c r="D203" s="208"/>
      <c r="E203" s="208"/>
      <c r="F203" s="208"/>
      <c r="G203" s="208"/>
      <c r="H203" s="208"/>
      <c r="I203" s="209"/>
      <c r="J203" s="209"/>
      <c r="K203" s="209"/>
      <c r="L203" s="209"/>
      <c r="M203" s="209"/>
      <c r="N203" s="209"/>
      <c r="O203" s="208"/>
      <c r="P203" s="208"/>
      <c r="Q203" s="208"/>
      <c r="R203" s="208"/>
      <c r="S203" s="211"/>
      <c r="T203" s="208"/>
      <c r="U203" s="208"/>
      <c r="V203" s="208"/>
      <c r="W203" s="208"/>
      <c r="X203" s="208"/>
      <c r="Y203" s="208"/>
      <c r="Z203" s="208"/>
    </row>
    <row r="204" spans="2:26" s="192" customFormat="1" ht="12">
      <c r="B204" s="208"/>
      <c r="C204" s="208"/>
      <c r="D204" s="208"/>
      <c r="E204" s="208"/>
      <c r="F204" s="208"/>
      <c r="G204" s="208"/>
      <c r="H204" s="208"/>
      <c r="I204" s="209"/>
      <c r="J204" s="209"/>
      <c r="K204" s="209"/>
      <c r="L204" s="209"/>
      <c r="M204" s="209"/>
      <c r="N204" s="209"/>
      <c r="O204" s="208"/>
      <c r="P204" s="208"/>
      <c r="Q204" s="208"/>
      <c r="R204" s="208"/>
      <c r="S204" s="211"/>
      <c r="T204" s="208"/>
      <c r="U204" s="208"/>
      <c r="V204" s="208"/>
      <c r="W204" s="208"/>
      <c r="X204" s="208"/>
      <c r="Y204" s="208"/>
      <c r="Z204" s="208"/>
    </row>
    <row r="205" spans="2:26" s="192" customFormat="1" ht="12">
      <c r="B205" s="208"/>
      <c r="C205" s="208"/>
      <c r="D205" s="208"/>
      <c r="E205" s="208"/>
      <c r="F205" s="208"/>
      <c r="G205" s="208"/>
      <c r="H205" s="208"/>
      <c r="I205" s="209"/>
      <c r="J205" s="209"/>
      <c r="K205" s="209"/>
      <c r="L205" s="209"/>
      <c r="M205" s="209"/>
      <c r="N205" s="209"/>
      <c r="O205" s="208"/>
      <c r="P205" s="208"/>
      <c r="Q205" s="208"/>
      <c r="R205" s="208"/>
      <c r="S205" s="211"/>
      <c r="T205" s="208"/>
      <c r="U205" s="208"/>
      <c r="V205" s="208"/>
      <c r="W205" s="208"/>
      <c r="X205" s="208"/>
      <c r="Y205" s="208"/>
      <c r="Z205" s="208"/>
    </row>
    <row r="206" spans="2:26" s="192" customFormat="1" ht="12">
      <c r="B206" s="208"/>
      <c r="C206" s="208"/>
      <c r="D206" s="208"/>
      <c r="E206" s="208"/>
      <c r="F206" s="208"/>
      <c r="G206" s="208"/>
      <c r="H206" s="208"/>
      <c r="I206" s="209"/>
      <c r="J206" s="209"/>
      <c r="K206" s="209"/>
      <c r="L206" s="209"/>
      <c r="M206" s="209"/>
      <c r="N206" s="209"/>
      <c r="O206" s="208"/>
      <c r="P206" s="208"/>
      <c r="Q206" s="208"/>
      <c r="R206" s="208"/>
      <c r="S206" s="211"/>
      <c r="T206" s="208"/>
      <c r="U206" s="208"/>
      <c r="V206" s="208"/>
      <c r="W206" s="208"/>
      <c r="X206" s="208"/>
      <c r="Y206" s="208"/>
      <c r="Z206" s="208"/>
    </row>
    <row r="207" spans="2:26" s="192" customFormat="1" ht="12">
      <c r="B207" s="208"/>
      <c r="C207" s="208"/>
      <c r="D207" s="208"/>
      <c r="E207" s="208"/>
      <c r="F207" s="208"/>
      <c r="G207" s="208"/>
      <c r="H207" s="208"/>
      <c r="I207" s="209"/>
      <c r="J207" s="209"/>
      <c r="K207" s="209"/>
      <c r="L207" s="209"/>
      <c r="M207" s="209"/>
      <c r="N207" s="209"/>
      <c r="O207" s="208"/>
      <c r="P207" s="208"/>
      <c r="Q207" s="208"/>
      <c r="R207" s="208"/>
      <c r="S207" s="211"/>
      <c r="T207" s="208"/>
      <c r="U207" s="208"/>
      <c r="V207" s="208"/>
      <c r="W207" s="208"/>
      <c r="X207" s="208"/>
      <c r="Y207" s="208"/>
      <c r="Z207" s="208"/>
    </row>
    <row r="208" spans="2:26" s="192" customFormat="1" ht="12">
      <c r="B208" s="208"/>
      <c r="C208" s="208"/>
      <c r="D208" s="208"/>
      <c r="E208" s="208"/>
      <c r="F208" s="208"/>
      <c r="G208" s="208"/>
      <c r="H208" s="208"/>
      <c r="I208" s="209"/>
      <c r="J208" s="209"/>
      <c r="K208" s="209"/>
      <c r="L208" s="209"/>
      <c r="M208" s="209"/>
      <c r="N208" s="209"/>
      <c r="O208" s="208"/>
      <c r="P208" s="208"/>
      <c r="Q208" s="208"/>
      <c r="R208" s="208"/>
      <c r="S208" s="211"/>
      <c r="T208" s="208"/>
      <c r="U208" s="208"/>
      <c r="V208" s="208"/>
      <c r="W208" s="208"/>
      <c r="X208" s="208"/>
      <c r="Y208" s="208"/>
      <c r="Z208" s="208"/>
    </row>
    <row r="209" spans="2:26" s="192" customFormat="1" ht="12">
      <c r="B209" s="208"/>
      <c r="C209" s="208"/>
      <c r="D209" s="208"/>
      <c r="E209" s="208"/>
      <c r="F209" s="208"/>
      <c r="G209" s="208"/>
      <c r="H209" s="208"/>
      <c r="I209" s="209"/>
      <c r="J209" s="209"/>
      <c r="K209" s="209"/>
      <c r="L209" s="209"/>
      <c r="M209" s="209"/>
      <c r="N209" s="209"/>
      <c r="O209" s="208"/>
      <c r="P209" s="208"/>
      <c r="Q209" s="208"/>
      <c r="R209" s="208"/>
      <c r="S209" s="211"/>
      <c r="T209" s="208"/>
      <c r="U209" s="208"/>
      <c r="V209" s="208"/>
      <c r="W209" s="208"/>
      <c r="X209" s="208"/>
      <c r="Y209" s="208"/>
      <c r="Z209" s="208"/>
    </row>
    <row r="210" spans="2:26" s="192" customFormat="1" ht="12">
      <c r="B210" s="208"/>
      <c r="C210" s="208"/>
      <c r="D210" s="208"/>
      <c r="E210" s="208"/>
      <c r="F210" s="208"/>
      <c r="G210" s="208"/>
      <c r="H210" s="208"/>
      <c r="I210" s="209"/>
      <c r="J210" s="209"/>
      <c r="K210" s="209"/>
      <c r="L210" s="209"/>
      <c r="M210" s="209"/>
      <c r="N210" s="209"/>
      <c r="O210" s="208"/>
      <c r="P210" s="208"/>
      <c r="Q210" s="208"/>
      <c r="R210" s="208"/>
      <c r="S210" s="211"/>
      <c r="T210" s="208"/>
      <c r="U210" s="208"/>
      <c r="V210" s="208"/>
      <c r="W210" s="208"/>
      <c r="X210" s="208"/>
      <c r="Y210" s="208"/>
      <c r="Z210" s="208"/>
    </row>
    <row r="211" spans="2:26" s="192" customFormat="1" ht="12">
      <c r="B211" s="208"/>
      <c r="C211" s="208"/>
      <c r="D211" s="208"/>
      <c r="E211" s="208"/>
      <c r="F211" s="208"/>
      <c r="G211" s="208"/>
      <c r="H211" s="208"/>
      <c r="I211" s="209"/>
      <c r="J211" s="209"/>
      <c r="K211" s="209"/>
      <c r="L211" s="209"/>
      <c r="M211" s="209"/>
      <c r="N211" s="209"/>
      <c r="O211" s="208"/>
      <c r="P211" s="208"/>
      <c r="Q211" s="208"/>
      <c r="R211" s="208"/>
      <c r="S211" s="211"/>
      <c r="T211" s="208"/>
      <c r="U211" s="208"/>
      <c r="V211" s="208"/>
      <c r="W211" s="208"/>
      <c r="X211" s="208"/>
      <c r="Y211" s="208"/>
      <c r="Z211" s="208"/>
    </row>
    <row r="212" spans="2:26" s="192" customFormat="1" ht="12">
      <c r="B212" s="208"/>
      <c r="C212" s="208"/>
      <c r="D212" s="208"/>
      <c r="E212" s="208"/>
      <c r="F212" s="208"/>
      <c r="G212" s="208"/>
      <c r="H212" s="208"/>
      <c r="I212" s="209"/>
      <c r="J212" s="209"/>
      <c r="K212" s="209"/>
      <c r="L212" s="209"/>
      <c r="M212" s="209"/>
      <c r="N212" s="209"/>
      <c r="O212" s="208"/>
      <c r="P212" s="208"/>
      <c r="Q212" s="208"/>
      <c r="R212" s="208"/>
      <c r="S212" s="211"/>
      <c r="T212" s="208"/>
      <c r="U212" s="208"/>
      <c r="V212" s="208"/>
      <c r="W212" s="208"/>
      <c r="X212" s="208"/>
      <c r="Y212" s="208"/>
      <c r="Z212" s="208"/>
    </row>
    <row r="213" spans="2:26" s="192" customFormat="1" ht="12">
      <c r="B213" s="208"/>
      <c r="C213" s="208"/>
      <c r="D213" s="208"/>
      <c r="E213" s="208"/>
      <c r="F213" s="208"/>
      <c r="G213" s="208"/>
      <c r="H213" s="208"/>
      <c r="I213" s="209"/>
      <c r="J213" s="209"/>
      <c r="K213" s="209"/>
      <c r="L213" s="209"/>
      <c r="M213" s="209"/>
      <c r="N213" s="209"/>
      <c r="O213" s="208"/>
      <c r="P213" s="208"/>
      <c r="Q213" s="208"/>
      <c r="R213" s="208"/>
      <c r="S213" s="211"/>
      <c r="T213" s="208"/>
      <c r="U213" s="208"/>
      <c r="V213" s="208"/>
      <c r="W213" s="208"/>
      <c r="X213" s="208"/>
      <c r="Y213" s="208"/>
      <c r="Z213" s="208"/>
    </row>
    <row r="214" spans="2:26" s="192" customFormat="1" ht="12">
      <c r="B214" s="208"/>
      <c r="C214" s="208"/>
      <c r="D214" s="208"/>
      <c r="E214" s="208"/>
      <c r="F214" s="208"/>
      <c r="G214" s="208"/>
      <c r="H214" s="208"/>
      <c r="I214" s="209"/>
      <c r="J214" s="209"/>
      <c r="K214" s="209"/>
      <c r="L214" s="209"/>
      <c r="M214" s="209"/>
      <c r="N214" s="209"/>
      <c r="O214" s="208"/>
      <c r="P214" s="208"/>
      <c r="Q214" s="208"/>
      <c r="R214" s="208"/>
      <c r="S214" s="211"/>
      <c r="T214" s="208"/>
      <c r="U214" s="208"/>
      <c r="V214" s="208"/>
      <c r="W214" s="208"/>
      <c r="X214" s="208"/>
      <c r="Y214" s="208"/>
      <c r="Z214" s="208"/>
    </row>
    <row r="215" spans="2:26" s="192" customFormat="1" ht="12">
      <c r="B215" s="208"/>
      <c r="C215" s="208"/>
      <c r="D215" s="208"/>
      <c r="E215" s="208"/>
      <c r="F215" s="208"/>
      <c r="G215" s="208"/>
      <c r="H215" s="208"/>
      <c r="I215" s="209"/>
      <c r="J215" s="209"/>
      <c r="K215" s="209"/>
      <c r="L215" s="209"/>
      <c r="M215" s="209"/>
      <c r="N215" s="209"/>
      <c r="O215" s="208"/>
      <c r="P215" s="208"/>
      <c r="Q215" s="208"/>
      <c r="R215" s="208"/>
      <c r="S215" s="211"/>
      <c r="T215" s="208"/>
      <c r="U215" s="208"/>
      <c r="V215" s="208"/>
      <c r="W215" s="208"/>
      <c r="X215" s="208"/>
      <c r="Y215" s="208"/>
      <c r="Z215" s="208"/>
    </row>
    <row r="216" spans="2:26" s="192" customFormat="1" ht="12">
      <c r="B216" s="208"/>
      <c r="C216" s="208"/>
      <c r="D216" s="208"/>
      <c r="E216" s="208"/>
      <c r="F216" s="208"/>
      <c r="G216" s="208"/>
      <c r="H216" s="208"/>
      <c r="I216" s="209"/>
      <c r="J216" s="209"/>
      <c r="K216" s="209"/>
      <c r="L216" s="209"/>
      <c r="M216" s="209"/>
      <c r="N216" s="209"/>
      <c r="O216" s="208"/>
      <c r="P216" s="208"/>
      <c r="Q216" s="208"/>
      <c r="R216" s="208"/>
      <c r="S216" s="211"/>
      <c r="T216" s="208"/>
      <c r="U216" s="208"/>
      <c r="V216" s="208"/>
      <c r="W216" s="208"/>
      <c r="X216" s="208"/>
      <c r="Y216" s="208"/>
      <c r="Z216" s="208"/>
    </row>
    <row r="217" spans="2:26" s="192" customFormat="1" ht="12">
      <c r="B217" s="208"/>
      <c r="C217" s="208"/>
      <c r="D217" s="208"/>
      <c r="E217" s="208"/>
      <c r="F217" s="208"/>
      <c r="G217" s="208"/>
      <c r="H217" s="208"/>
      <c r="I217" s="209"/>
      <c r="J217" s="209"/>
      <c r="K217" s="209"/>
      <c r="L217" s="209"/>
      <c r="M217" s="209"/>
      <c r="N217" s="209"/>
      <c r="O217" s="208"/>
      <c r="P217" s="208"/>
      <c r="Q217" s="208"/>
      <c r="R217" s="208"/>
      <c r="S217" s="211"/>
      <c r="T217" s="208"/>
      <c r="U217" s="208"/>
      <c r="V217" s="208"/>
      <c r="W217" s="208"/>
      <c r="X217" s="208"/>
      <c r="Y217" s="208"/>
      <c r="Z217" s="208"/>
    </row>
    <row r="218" spans="2:26" s="192" customFormat="1" ht="12">
      <c r="B218" s="208"/>
      <c r="C218" s="208"/>
      <c r="D218" s="208"/>
      <c r="E218" s="208"/>
      <c r="F218" s="208"/>
      <c r="G218" s="208"/>
      <c r="H218" s="208"/>
      <c r="I218" s="209"/>
      <c r="J218" s="209"/>
      <c r="K218" s="209"/>
      <c r="L218" s="209"/>
      <c r="M218" s="209"/>
      <c r="N218" s="209"/>
      <c r="O218" s="208"/>
      <c r="P218" s="208"/>
      <c r="Q218" s="208"/>
      <c r="R218" s="208"/>
      <c r="S218" s="211"/>
      <c r="T218" s="208"/>
      <c r="U218" s="208"/>
      <c r="V218" s="208"/>
      <c r="W218" s="208"/>
      <c r="X218" s="208"/>
      <c r="Y218" s="208"/>
      <c r="Z218" s="208"/>
    </row>
    <row r="219" spans="2:26" s="192" customFormat="1" ht="12">
      <c r="B219" s="208"/>
      <c r="C219" s="208"/>
      <c r="D219" s="208"/>
      <c r="E219" s="208"/>
      <c r="F219" s="208"/>
      <c r="G219" s="208"/>
      <c r="H219" s="208"/>
      <c r="I219" s="209"/>
      <c r="J219" s="209"/>
      <c r="K219" s="209"/>
      <c r="L219" s="209"/>
      <c r="M219" s="209"/>
      <c r="N219" s="209"/>
      <c r="O219" s="208"/>
      <c r="P219" s="208"/>
      <c r="Q219" s="208"/>
      <c r="R219" s="208"/>
      <c r="S219" s="211"/>
      <c r="T219" s="208"/>
      <c r="U219" s="208"/>
      <c r="V219" s="208"/>
      <c r="W219" s="208"/>
      <c r="X219" s="208"/>
      <c r="Y219" s="208"/>
      <c r="Z219" s="208"/>
    </row>
    <row r="220" spans="2:26" s="192" customFormat="1" ht="12">
      <c r="B220" s="208"/>
      <c r="C220" s="208"/>
      <c r="D220" s="208"/>
      <c r="E220" s="208"/>
      <c r="F220" s="208"/>
      <c r="G220" s="208"/>
      <c r="H220" s="208"/>
      <c r="I220" s="209"/>
      <c r="J220" s="209"/>
      <c r="K220" s="209"/>
      <c r="L220" s="209"/>
      <c r="M220" s="209"/>
      <c r="N220" s="209"/>
      <c r="O220" s="208"/>
      <c r="P220" s="208"/>
      <c r="Q220" s="208"/>
      <c r="R220" s="208"/>
      <c r="S220" s="211"/>
      <c r="T220" s="208"/>
      <c r="U220" s="208"/>
      <c r="V220" s="208"/>
      <c r="W220" s="208"/>
      <c r="X220" s="208"/>
      <c r="Y220" s="208"/>
      <c r="Z220" s="208"/>
    </row>
    <row r="221" spans="2:26" s="192" customFormat="1" ht="12">
      <c r="B221" s="208"/>
      <c r="C221" s="208"/>
      <c r="D221" s="208"/>
      <c r="E221" s="208"/>
      <c r="F221" s="208"/>
      <c r="G221" s="208"/>
      <c r="H221" s="208"/>
      <c r="I221" s="209"/>
      <c r="J221" s="209"/>
      <c r="K221" s="209"/>
      <c r="L221" s="209"/>
      <c r="M221" s="209"/>
      <c r="N221" s="209"/>
      <c r="O221" s="208"/>
      <c r="P221" s="208"/>
      <c r="Q221" s="208"/>
      <c r="R221" s="208"/>
      <c r="S221" s="211"/>
      <c r="T221" s="208"/>
      <c r="U221" s="208"/>
      <c r="V221" s="208"/>
      <c r="W221" s="208"/>
      <c r="X221" s="208"/>
      <c r="Y221" s="208"/>
      <c r="Z221" s="208"/>
    </row>
    <row r="222" spans="2:26" s="192" customFormat="1" ht="12">
      <c r="B222" s="208"/>
      <c r="C222" s="208"/>
      <c r="D222" s="208"/>
      <c r="E222" s="208"/>
      <c r="F222" s="208"/>
      <c r="G222" s="208"/>
      <c r="H222" s="208"/>
      <c r="I222" s="209"/>
      <c r="J222" s="209"/>
      <c r="K222" s="209"/>
      <c r="L222" s="209"/>
      <c r="M222" s="209"/>
      <c r="N222" s="209"/>
      <c r="O222" s="208"/>
      <c r="P222" s="208"/>
      <c r="Q222" s="208"/>
      <c r="R222" s="208"/>
      <c r="S222" s="211"/>
      <c r="T222" s="208"/>
      <c r="U222" s="208"/>
      <c r="V222" s="208"/>
      <c r="W222" s="208"/>
      <c r="X222" s="208"/>
      <c r="Y222" s="208"/>
      <c r="Z222" s="208"/>
    </row>
    <row r="223" spans="2:26" s="192" customFormat="1" ht="12">
      <c r="B223" s="208"/>
      <c r="C223" s="208"/>
      <c r="D223" s="208"/>
      <c r="E223" s="208"/>
      <c r="F223" s="208"/>
      <c r="G223" s="208"/>
      <c r="H223" s="208"/>
      <c r="I223" s="209"/>
      <c r="J223" s="209"/>
      <c r="K223" s="209"/>
      <c r="L223" s="209"/>
      <c r="M223" s="209"/>
      <c r="N223" s="209"/>
      <c r="O223" s="208"/>
      <c r="P223" s="208"/>
      <c r="Q223" s="208"/>
      <c r="R223" s="208"/>
      <c r="S223" s="211"/>
      <c r="T223" s="208"/>
      <c r="U223" s="208"/>
      <c r="V223" s="208"/>
      <c r="W223" s="208"/>
      <c r="X223" s="208"/>
      <c r="Y223" s="208"/>
      <c r="Z223" s="208"/>
    </row>
    <row r="224" spans="2:26" s="192" customFormat="1" ht="12">
      <c r="B224" s="208"/>
      <c r="C224" s="208"/>
      <c r="D224" s="208"/>
      <c r="E224" s="208"/>
      <c r="F224" s="208"/>
      <c r="G224" s="208"/>
      <c r="H224" s="208"/>
      <c r="I224" s="209"/>
      <c r="J224" s="209"/>
      <c r="K224" s="209"/>
      <c r="L224" s="209"/>
      <c r="M224" s="209"/>
      <c r="N224" s="209"/>
      <c r="O224" s="208"/>
      <c r="P224" s="208"/>
      <c r="Q224" s="208"/>
      <c r="R224" s="208"/>
      <c r="S224" s="211"/>
      <c r="T224" s="208"/>
      <c r="U224" s="208"/>
      <c r="V224" s="208"/>
      <c r="W224" s="208"/>
      <c r="X224" s="208"/>
      <c r="Y224" s="208"/>
      <c r="Z224" s="208"/>
    </row>
    <row r="225" spans="2:26" s="192" customFormat="1" ht="12">
      <c r="B225" s="208"/>
      <c r="C225" s="208"/>
      <c r="D225" s="208"/>
      <c r="E225" s="208"/>
      <c r="F225" s="208"/>
      <c r="G225" s="208"/>
      <c r="H225" s="208"/>
      <c r="I225" s="209"/>
      <c r="J225" s="209"/>
      <c r="K225" s="209"/>
      <c r="L225" s="209"/>
      <c r="M225" s="209"/>
      <c r="N225" s="209"/>
      <c r="O225" s="208"/>
      <c r="P225" s="208"/>
      <c r="Q225" s="208"/>
      <c r="R225" s="208"/>
      <c r="S225" s="211"/>
      <c r="T225" s="208"/>
      <c r="U225" s="208"/>
      <c r="V225" s="208"/>
      <c r="W225" s="208"/>
      <c r="X225" s="208"/>
      <c r="Y225" s="208"/>
      <c r="Z225" s="208"/>
    </row>
    <row r="226" spans="2:26" s="192" customFormat="1" ht="12">
      <c r="B226" s="208"/>
      <c r="C226" s="208"/>
      <c r="D226" s="208"/>
      <c r="E226" s="208"/>
      <c r="F226" s="208"/>
      <c r="G226" s="208"/>
      <c r="H226" s="208"/>
      <c r="I226" s="209"/>
      <c r="J226" s="209"/>
      <c r="K226" s="209"/>
      <c r="L226" s="209"/>
      <c r="M226" s="209"/>
      <c r="N226" s="209"/>
      <c r="O226" s="208"/>
      <c r="P226" s="208"/>
      <c r="Q226" s="208"/>
      <c r="R226" s="208"/>
      <c r="S226" s="211"/>
      <c r="T226" s="208"/>
      <c r="U226" s="208"/>
      <c r="V226" s="208"/>
      <c r="W226" s="208"/>
      <c r="X226" s="208"/>
      <c r="Y226" s="208"/>
      <c r="Z226" s="208"/>
    </row>
    <row r="227" spans="2:26" s="192" customFormat="1" ht="12">
      <c r="B227" s="208"/>
      <c r="C227" s="208"/>
      <c r="D227" s="208"/>
      <c r="E227" s="208"/>
      <c r="F227" s="208"/>
      <c r="G227" s="208"/>
      <c r="H227" s="208"/>
      <c r="I227" s="209"/>
      <c r="J227" s="209"/>
      <c r="K227" s="209"/>
      <c r="L227" s="209"/>
      <c r="M227" s="209"/>
      <c r="N227" s="209"/>
      <c r="O227" s="208"/>
      <c r="P227" s="208"/>
      <c r="Q227" s="208"/>
      <c r="R227" s="208"/>
      <c r="S227" s="211"/>
      <c r="T227" s="208"/>
      <c r="U227" s="208"/>
      <c r="V227" s="208"/>
      <c r="W227" s="208"/>
      <c r="X227" s="208"/>
      <c r="Y227" s="208"/>
      <c r="Z227" s="208"/>
    </row>
    <row r="228" spans="2:26" s="192" customFormat="1" ht="12">
      <c r="B228" s="208"/>
      <c r="C228" s="208"/>
      <c r="D228" s="208"/>
      <c r="E228" s="208"/>
      <c r="F228" s="208"/>
      <c r="G228" s="208"/>
      <c r="H228" s="208"/>
      <c r="I228" s="209"/>
      <c r="J228" s="209"/>
      <c r="K228" s="209"/>
      <c r="L228" s="209"/>
      <c r="M228" s="209"/>
      <c r="N228" s="209"/>
      <c r="O228" s="208"/>
      <c r="P228" s="208"/>
      <c r="Q228" s="208"/>
      <c r="R228" s="208"/>
      <c r="S228" s="211"/>
      <c r="T228" s="208"/>
      <c r="U228" s="208"/>
      <c r="V228" s="208"/>
      <c r="W228" s="208"/>
      <c r="X228" s="208"/>
      <c r="Y228" s="208"/>
      <c r="Z228" s="208"/>
    </row>
    <row r="229" spans="2:26" s="192" customFormat="1" ht="12">
      <c r="B229" s="208"/>
      <c r="C229" s="208"/>
      <c r="D229" s="208"/>
      <c r="E229" s="208"/>
      <c r="F229" s="208"/>
      <c r="G229" s="208"/>
      <c r="H229" s="208"/>
      <c r="I229" s="209"/>
      <c r="J229" s="209"/>
      <c r="K229" s="209"/>
      <c r="L229" s="209"/>
      <c r="M229" s="209"/>
      <c r="N229" s="209"/>
      <c r="O229" s="208"/>
      <c r="P229" s="208"/>
      <c r="Q229" s="208"/>
      <c r="R229" s="208"/>
      <c r="S229" s="211"/>
      <c r="T229" s="208"/>
      <c r="U229" s="208"/>
      <c r="V229" s="208"/>
      <c r="W229" s="208"/>
      <c r="X229" s="208"/>
      <c r="Y229" s="208"/>
      <c r="Z229" s="208"/>
    </row>
    <row r="230" spans="2:26" s="192" customFormat="1" ht="12">
      <c r="B230" s="208"/>
      <c r="C230" s="208"/>
      <c r="D230" s="208"/>
      <c r="E230" s="208"/>
      <c r="F230" s="208"/>
      <c r="G230" s="208"/>
      <c r="H230" s="208"/>
      <c r="I230" s="209"/>
      <c r="J230" s="209"/>
      <c r="K230" s="209"/>
      <c r="L230" s="209"/>
      <c r="M230" s="209"/>
      <c r="N230" s="209"/>
      <c r="O230" s="208"/>
      <c r="P230" s="208"/>
      <c r="Q230" s="208"/>
      <c r="R230" s="208"/>
      <c r="S230" s="211"/>
      <c r="T230" s="208"/>
      <c r="U230" s="208"/>
      <c r="V230" s="208"/>
      <c r="W230" s="208"/>
      <c r="X230" s="208"/>
      <c r="Y230" s="208"/>
      <c r="Z230" s="208"/>
    </row>
    <row r="231" spans="2:26" s="192" customFormat="1" ht="12">
      <c r="B231" s="208"/>
      <c r="C231" s="208"/>
      <c r="D231" s="208"/>
      <c r="E231" s="208"/>
      <c r="F231" s="208"/>
      <c r="G231" s="208"/>
      <c r="H231" s="208"/>
      <c r="I231" s="209"/>
      <c r="J231" s="209"/>
      <c r="K231" s="209"/>
      <c r="L231" s="209"/>
      <c r="M231" s="209"/>
      <c r="N231" s="209"/>
      <c r="O231" s="208"/>
      <c r="P231" s="208"/>
      <c r="Q231" s="208"/>
      <c r="R231" s="208"/>
      <c r="S231" s="211"/>
      <c r="T231" s="208"/>
      <c r="U231" s="208"/>
      <c r="V231" s="208"/>
      <c r="W231" s="208"/>
      <c r="X231" s="208"/>
      <c r="Y231" s="208"/>
      <c r="Z231" s="208"/>
    </row>
    <row r="232" spans="2:26" s="192" customFormat="1" ht="12">
      <c r="B232" s="208"/>
      <c r="C232" s="208"/>
      <c r="D232" s="208"/>
      <c r="E232" s="208"/>
      <c r="F232" s="208"/>
      <c r="G232" s="208"/>
      <c r="H232" s="208"/>
      <c r="I232" s="209"/>
      <c r="J232" s="209"/>
      <c r="K232" s="209"/>
      <c r="L232" s="209"/>
      <c r="M232" s="209"/>
      <c r="N232" s="209"/>
      <c r="O232" s="208"/>
      <c r="P232" s="208"/>
      <c r="Q232" s="208"/>
      <c r="R232" s="208"/>
      <c r="S232" s="211"/>
      <c r="T232" s="208"/>
      <c r="U232" s="208"/>
      <c r="V232" s="208"/>
      <c r="W232" s="208"/>
      <c r="X232" s="208"/>
      <c r="Y232" s="208"/>
      <c r="Z232" s="208"/>
    </row>
    <row r="233" spans="2:26" s="192" customFormat="1" ht="12">
      <c r="B233" s="208"/>
      <c r="C233" s="208"/>
      <c r="D233" s="208"/>
      <c r="E233" s="208"/>
      <c r="F233" s="208"/>
      <c r="G233" s="208"/>
      <c r="H233" s="208"/>
      <c r="I233" s="209"/>
      <c r="J233" s="209"/>
      <c r="K233" s="209"/>
      <c r="L233" s="209"/>
      <c r="M233" s="209"/>
      <c r="N233" s="209"/>
      <c r="O233" s="208"/>
      <c r="P233" s="208"/>
      <c r="Q233" s="208"/>
      <c r="R233" s="208"/>
      <c r="S233" s="211"/>
      <c r="T233" s="208"/>
      <c r="U233" s="208"/>
      <c r="V233" s="208"/>
      <c r="W233" s="208"/>
      <c r="X233" s="208"/>
      <c r="Y233" s="208"/>
      <c r="Z233" s="208"/>
    </row>
    <row r="234" spans="2:26" s="192" customFormat="1" ht="12">
      <c r="B234" s="208"/>
      <c r="C234" s="208"/>
      <c r="D234" s="208"/>
      <c r="E234" s="208"/>
      <c r="F234" s="208"/>
      <c r="G234" s="208"/>
      <c r="H234" s="208"/>
      <c r="I234" s="209"/>
      <c r="J234" s="209"/>
      <c r="K234" s="209"/>
      <c r="L234" s="209"/>
      <c r="M234" s="209"/>
      <c r="N234" s="209"/>
      <c r="O234" s="208"/>
      <c r="P234" s="208"/>
      <c r="Q234" s="208"/>
      <c r="R234" s="208"/>
      <c r="S234" s="211"/>
      <c r="T234" s="208"/>
      <c r="U234" s="208"/>
      <c r="V234" s="208"/>
      <c r="W234" s="208"/>
      <c r="X234" s="208"/>
      <c r="Y234" s="208"/>
      <c r="Z234" s="208"/>
    </row>
    <row r="235" spans="2:26" s="192" customFormat="1" ht="12">
      <c r="B235" s="208"/>
      <c r="C235" s="208"/>
      <c r="D235" s="208"/>
      <c r="E235" s="208"/>
      <c r="F235" s="208"/>
      <c r="G235" s="208"/>
      <c r="H235" s="208"/>
      <c r="I235" s="209"/>
      <c r="J235" s="209"/>
      <c r="K235" s="209"/>
      <c r="L235" s="209"/>
      <c r="M235" s="209"/>
      <c r="N235" s="209"/>
      <c r="O235" s="208"/>
      <c r="P235" s="208"/>
      <c r="Q235" s="208"/>
      <c r="R235" s="208"/>
      <c r="S235" s="211"/>
      <c r="T235" s="208"/>
      <c r="U235" s="208"/>
      <c r="V235" s="208"/>
      <c r="W235" s="208"/>
      <c r="X235" s="208"/>
      <c r="Y235" s="208"/>
      <c r="Z235" s="208"/>
    </row>
    <row r="236" spans="2:26" s="192" customFormat="1" ht="12">
      <c r="B236" s="208"/>
      <c r="C236" s="208"/>
      <c r="D236" s="208"/>
      <c r="E236" s="208"/>
      <c r="F236" s="208"/>
      <c r="G236" s="208"/>
      <c r="H236" s="208"/>
      <c r="I236" s="209"/>
      <c r="J236" s="209"/>
      <c r="K236" s="209"/>
      <c r="L236" s="209"/>
      <c r="M236" s="209"/>
      <c r="N236" s="209"/>
      <c r="O236" s="208"/>
      <c r="P236" s="208"/>
      <c r="Q236" s="208"/>
      <c r="R236" s="208"/>
      <c r="S236" s="211"/>
      <c r="T236" s="208"/>
      <c r="U236" s="208"/>
      <c r="V236" s="208"/>
      <c r="W236" s="208"/>
      <c r="X236" s="208"/>
      <c r="Y236" s="208"/>
      <c r="Z236" s="208"/>
    </row>
    <row r="237" spans="2:26" s="192" customFormat="1" ht="12">
      <c r="B237" s="208"/>
      <c r="C237" s="208"/>
      <c r="D237" s="208"/>
      <c r="E237" s="208"/>
      <c r="F237" s="208"/>
      <c r="G237" s="208"/>
      <c r="H237" s="208"/>
      <c r="I237" s="209"/>
      <c r="J237" s="209"/>
      <c r="K237" s="209"/>
      <c r="L237" s="209"/>
      <c r="M237" s="209"/>
      <c r="N237" s="209"/>
      <c r="O237" s="208"/>
      <c r="P237" s="208"/>
      <c r="Q237" s="208"/>
      <c r="R237" s="208"/>
      <c r="S237" s="211"/>
      <c r="T237" s="208"/>
      <c r="U237" s="208"/>
      <c r="V237" s="208"/>
      <c r="W237" s="208"/>
      <c r="X237" s="208"/>
      <c r="Y237" s="208"/>
      <c r="Z237" s="208"/>
    </row>
    <row r="238" spans="2:26" s="192" customFormat="1" ht="12">
      <c r="B238" s="208"/>
      <c r="C238" s="208"/>
      <c r="D238" s="208"/>
      <c r="E238" s="208"/>
      <c r="F238" s="208"/>
      <c r="G238" s="208"/>
      <c r="H238" s="208"/>
      <c r="I238" s="209"/>
      <c r="J238" s="209"/>
      <c r="K238" s="209"/>
      <c r="L238" s="209"/>
      <c r="M238" s="209"/>
      <c r="N238" s="209"/>
      <c r="O238" s="208"/>
      <c r="P238" s="208"/>
      <c r="Q238" s="208"/>
      <c r="R238" s="208"/>
      <c r="S238" s="211"/>
      <c r="T238" s="208"/>
      <c r="U238" s="208"/>
      <c r="V238" s="208"/>
      <c r="W238" s="208"/>
      <c r="X238" s="208"/>
      <c r="Y238" s="208"/>
      <c r="Z238" s="208"/>
    </row>
    <row r="239" spans="2:26" s="192" customFormat="1" ht="12">
      <c r="B239" s="208"/>
      <c r="C239" s="208"/>
      <c r="D239" s="208"/>
      <c r="E239" s="208"/>
      <c r="F239" s="208"/>
      <c r="G239" s="208"/>
      <c r="H239" s="208"/>
      <c r="I239" s="209"/>
      <c r="J239" s="209"/>
      <c r="K239" s="209"/>
      <c r="L239" s="209"/>
      <c r="M239" s="209"/>
      <c r="N239" s="209"/>
      <c r="O239" s="208"/>
      <c r="P239" s="208"/>
      <c r="Q239" s="208"/>
      <c r="R239" s="208"/>
      <c r="S239" s="211"/>
      <c r="T239" s="208"/>
      <c r="U239" s="208"/>
      <c r="V239" s="208"/>
      <c r="W239" s="208"/>
      <c r="X239" s="208"/>
      <c r="Y239" s="208"/>
      <c r="Z239" s="208"/>
    </row>
    <row r="240" spans="2:26" s="192" customFormat="1" ht="12">
      <c r="B240" s="208"/>
      <c r="C240" s="208"/>
      <c r="D240" s="208"/>
      <c r="E240" s="208"/>
      <c r="F240" s="208"/>
      <c r="G240" s="208"/>
      <c r="H240" s="208"/>
      <c r="I240" s="209"/>
      <c r="J240" s="209"/>
      <c r="K240" s="209"/>
      <c r="L240" s="209"/>
      <c r="M240" s="209"/>
      <c r="N240" s="209"/>
      <c r="O240" s="208"/>
      <c r="P240" s="208"/>
      <c r="Q240" s="208"/>
      <c r="R240" s="208"/>
      <c r="S240" s="211"/>
      <c r="T240" s="208"/>
      <c r="U240" s="208"/>
      <c r="V240" s="208"/>
      <c r="W240" s="208"/>
      <c r="X240" s="208"/>
      <c r="Y240" s="208"/>
      <c r="Z240" s="208"/>
    </row>
    <row r="241" spans="2:26" s="192" customFormat="1" ht="12">
      <c r="B241" s="208"/>
      <c r="C241" s="208"/>
      <c r="D241" s="208"/>
      <c r="E241" s="208"/>
      <c r="F241" s="208"/>
      <c r="G241" s="208"/>
      <c r="H241" s="208"/>
      <c r="I241" s="209"/>
      <c r="J241" s="209"/>
      <c r="K241" s="209"/>
      <c r="L241" s="209"/>
      <c r="M241" s="209"/>
      <c r="N241" s="209"/>
      <c r="O241" s="208"/>
      <c r="P241" s="208"/>
      <c r="Q241" s="208"/>
      <c r="R241" s="208"/>
      <c r="S241" s="211"/>
      <c r="T241" s="208"/>
      <c r="U241" s="208"/>
      <c r="V241" s="208"/>
      <c r="W241" s="208"/>
      <c r="X241" s="208"/>
      <c r="Y241" s="208"/>
      <c r="Z241" s="208"/>
    </row>
    <row r="242" spans="2:26" s="192" customFormat="1" ht="12">
      <c r="B242" s="208"/>
      <c r="C242" s="208"/>
      <c r="D242" s="208"/>
      <c r="E242" s="208"/>
      <c r="F242" s="208"/>
      <c r="G242" s="208"/>
      <c r="H242" s="208"/>
      <c r="I242" s="209"/>
      <c r="J242" s="209"/>
      <c r="K242" s="209"/>
      <c r="L242" s="209"/>
      <c r="M242" s="209"/>
      <c r="N242" s="209"/>
      <c r="O242" s="208"/>
      <c r="P242" s="208"/>
      <c r="Q242" s="208"/>
      <c r="R242" s="208"/>
      <c r="S242" s="211"/>
      <c r="T242" s="208"/>
      <c r="U242" s="208"/>
      <c r="V242" s="208"/>
      <c r="W242" s="208"/>
      <c r="X242" s="208"/>
      <c r="Y242" s="208"/>
      <c r="Z242" s="208"/>
    </row>
    <row r="243" spans="2:26" s="192" customFormat="1" ht="12">
      <c r="B243" s="208"/>
      <c r="C243" s="208"/>
      <c r="D243" s="208"/>
      <c r="E243" s="208"/>
      <c r="F243" s="208"/>
      <c r="G243" s="208"/>
      <c r="H243" s="208"/>
      <c r="I243" s="209"/>
      <c r="J243" s="209"/>
      <c r="K243" s="209"/>
      <c r="L243" s="209"/>
      <c r="M243" s="209"/>
      <c r="N243" s="209"/>
      <c r="O243" s="208"/>
      <c r="P243" s="208"/>
      <c r="Q243" s="208"/>
      <c r="R243" s="208"/>
      <c r="S243" s="211"/>
      <c r="T243" s="208"/>
      <c r="U243" s="208"/>
      <c r="V243" s="208"/>
      <c r="W243" s="208"/>
      <c r="X243" s="208"/>
      <c r="Y243" s="208"/>
      <c r="Z243" s="208"/>
    </row>
    <row r="244" spans="2:26" s="192" customFormat="1" ht="12">
      <c r="B244" s="208"/>
      <c r="C244" s="208"/>
      <c r="D244" s="208"/>
      <c r="E244" s="208"/>
      <c r="F244" s="208"/>
      <c r="G244" s="208"/>
      <c r="H244" s="208"/>
      <c r="I244" s="209"/>
      <c r="J244" s="209"/>
      <c r="K244" s="209"/>
      <c r="L244" s="209"/>
      <c r="M244" s="209"/>
      <c r="N244" s="209"/>
      <c r="O244" s="208"/>
      <c r="P244" s="208"/>
      <c r="Q244" s="208"/>
      <c r="R244" s="208"/>
      <c r="S244" s="211"/>
      <c r="T244" s="208"/>
      <c r="U244" s="208"/>
      <c r="V244" s="208"/>
      <c r="W244" s="208"/>
      <c r="X244" s="208"/>
      <c r="Y244" s="208"/>
      <c r="Z244" s="208"/>
    </row>
    <row r="245" spans="2:26" s="192" customFormat="1" ht="12">
      <c r="B245" s="208"/>
      <c r="C245" s="208"/>
      <c r="D245" s="208"/>
      <c r="E245" s="208"/>
      <c r="F245" s="208"/>
      <c r="G245" s="208"/>
      <c r="H245" s="208"/>
      <c r="I245" s="209"/>
      <c r="J245" s="209"/>
      <c r="K245" s="209"/>
      <c r="L245" s="209"/>
      <c r="M245" s="209"/>
      <c r="N245" s="209"/>
      <c r="O245" s="208"/>
      <c r="P245" s="208"/>
      <c r="Q245" s="208"/>
      <c r="R245" s="208"/>
      <c r="S245" s="211"/>
      <c r="T245" s="208"/>
      <c r="U245" s="208"/>
      <c r="V245" s="208"/>
      <c r="W245" s="208"/>
      <c r="X245" s="208"/>
      <c r="Y245" s="208"/>
      <c r="Z245" s="208"/>
    </row>
    <row r="246" spans="2:26" s="192" customFormat="1" ht="12">
      <c r="B246" s="208"/>
      <c r="C246" s="208"/>
      <c r="D246" s="208"/>
      <c r="E246" s="208"/>
      <c r="F246" s="208"/>
      <c r="G246" s="208"/>
      <c r="H246" s="208"/>
      <c r="I246" s="209"/>
      <c r="J246" s="209"/>
      <c r="K246" s="209"/>
      <c r="L246" s="209"/>
      <c r="M246" s="209"/>
      <c r="N246" s="209"/>
      <c r="O246" s="208"/>
      <c r="P246" s="208"/>
      <c r="Q246" s="208"/>
      <c r="R246" s="208"/>
      <c r="S246" s="211"/>
      <c r="T246" s="208"/>
      <c r="U246" s="208"/>
      <c r="V246" s="208"/>
      <c r="W246" s="208"/>
      <c r="X246" s="208"/>
      <c r="Y246" s="208"/>
      <c r="Z246" s="208"/>
    </row>
    <row r="247" spans="2:26" s="192" customFormat="1" ht="12">
      <c r="B247" s="208"/>
      <c r="C247" s="208"/>
      <c r="D247" s="208"/>
      <c r="E247" s="208"/>
      <c r="F247" s="208"/>
      <c r="G247" s="208"/>
      <c r="H247" s="208"/>
      <c r="I247" s="209"/>
      <c r="J247" s="209"/>
      <c r="K247" s="209"/>
      <c r="L247" s="209"/>
      <c r="M247" s="209"/>
      <c r="N247" s="209"/>
      <c r="O247" s="208"/>
      <c r="P247" s="208"/>
      <c r="Q247" s="208"/>
      <c r="R247" s="208"/>
      <c r="S247" s="211"/>
      <c r="T247" s="208"/>
      <c r="U247" s="208"/>
      <c r="V247" s="208"/>
      <c r="W247" s="208"/>
      <c r="X247" s="208"/>
      <c r="Y247" s="208"/>
      <c r="Z247" s="208"/>
    </row>
    <row r="248" spans="2:26" s="192" customFormat="1" ht="12">
      <c r="B248" s="208"/>
      <c r="C248" s="208"/>
      <c r="D248" s="208"/>
      <c r="E248" s="208"/>
      <c r="F248" s="208"/>
      <c r="G248" s="208"/>
      <c r="H248" s="208"/>
      <c r="I248" s="209"/>
      <c r="J248" s="209"/>
      <c r="K248" s="209"/>
      <c r="L248" s="209"/>
      <c r="M248" s="209"/>
      <c r="N248" s="209"/>
      <c r="O248" s="208"/>
      <c r="P248" s="208"/>
      <c r="Q248" s="208"/>
      <c r="R248" s="208"/>
      <c r="S248" s="211"/>
      <c r="T248" s="208"/>
      <c r="U248" s="208"/>
      <c r="V248" s="208"/>
      <c r="W248" s="208"/>
      <c r="X248" s="208"/>
      <c r="Y248" s="208"/>
      <c r="Z248" s="208"/>
    </row>
    <row r="249" spans="2:26" s="192" customFormat="1" ht="12">
      <c r="B249" s="208"/>
      <c r="C249" s="208"/>
      <c r="D249" s="208"/>
      <c r="E249" s="208"/>
      <c r="F249" s="208"/>
      <c r="G249" s="208"/>
      <c r="H249" s="208"/>
      <c r="I249" s="209"/>
      <c r="J249" s="209"/>
      <c r="K249" s="209"/>
      <c r="L249" s="209"/>
      <c r="M249" s="209"/>
      <c r="N249" s="209"/>
      <c r="O249" s="208"/>
      <c r="P249" s="208"/>
      <c r="Q249" s="208"/>
      <c r="R249" s="208"/>
      <c r="S249" s="211"/>
      <c r="T249" s="208"/>
      <c r="U249" s="208"/>
      <c r="V249" s="208"/>
      <c r="W249" s="208"/>
      <c r="X249" s="208"/>
      <c r="Y249" s="208"/>
      <c r="Z249" s="208"/>
    </row>
    <row r="250" spans="2:26" s="192" customFormat="1" ht="12">
      <c r="B250" s="208"/>
      <c r="C250" s="208"/>
      <c r="D250" s="208"/>
      <c r="E250" s="208"/>
      <c r="F250" s="208"/>
      <c r="G250" s="208"/>
      <c r="H250" s="208"/>
      <c r="I250" s="209"/>
      <c r="J250" s="209"/>
      <c r="K250" s="209"/>
      <c r="L250" s="209"/>
      <c r="M250" s="209"/>
      <c r="N250" s="209"/>
      <c r="O250" s="208"/>
      <c r="P250" s="208"/>
      <c r="Q250" s="208"/>
      <c r="R250" s="208"/>
      <c r="S250" s="211"/>
      <c r="T250" s="208"/>
      <c r="U250" s="208"/>
      <c r="V250" s="208"/>
      <c r="W250" s="208"/>
      <c r="X250" s="208"/>
      <c r="Y250" s="208"/>
      <c r="Z250" s="208"/>
    </row>
    <row r="251" spans="2:26" s="192" customFormat="1" ht="12">
      <c r="B251" s="208"/>
      <c r="C251" s="208"/>
      <c r="D251" s="208"/>
      <c r="E251" s="208"/>
      <c r="F251" s="208"/>
      <c r="G251" s="208"/>
      <c r="H251" s="208"/>
      <c r="I251" s="209"/>
      <c r="J251" s="209"/>
      <c r="K251" s="209"/>
      <c r="L251" s="209"/>
      <c r="M251" s="209"/>
      <c r="N251" s="209"/>
      <c r="O251" s="208"/>
      <c r="P251" s="208"/>
      <c r="Q251" s="208"/>
      <c r="R251" s="208"/>
      <c r="S251" s="211"/>
      <c r="T251" s="208"/>
      <c r="U251" s="208"/>
      <c r="V251" s="208"/>
      <c r="W251" s="208"/>
      <c r="X251" s="208"/>
      <c r="Y251" s="208"/>
      <c r="Z251" s="208"/>
    </row>
    <row r="252" spans="2:26" s="192" customFormat="1" ht="12">
      <c r="B252" s="208"/>
      <c r="C252" s="208"/>
      <c r="D252" s="208"/>
      <c r="E252" s="208"/>
      <c r="F252" s="208"/>
      <c r="G252" s="208"/>
      <c r="H252" s="208"/>
      <c r="I252" s="209"/>
      <c r="J252" s="209"/>
      <c r="K252" s="209"/>
      <c r="L252" s="209"/>
      <c r="M252" s="209"/>
      <c r="N252" s="209"/>
      <c r="O252" s="208"/>
      <c r="P252" s="208"/>
      <c r="Q252" s="208"/>
      <c r="R252" s="208"/>
      <c r="S252" s="211"/>
      <c r="T252" s="208"/>
      <c r="U252" s="208"/>
      <c r="V252" s="208"/>
      <c r="W252" s="208"/>
      <c r="X252" s="208"/>
      <c r="Y252" s="208"/>
      <c r="Z252" s="208"/>
    </row>
    <row r="253" spans="2:26" s="192" customFormat="1" ht="12">
      <c r="B253" s="208"/>
      <c r="C253" s="208"/>
      <c r="D253" s="208"/>
      <c r="E253" s="208"/>
      <c r="F253" s="208"/>
      <c r="G253" s="208"/>
      <c r="H253" s="208"/>
      <c r="I253" s="209"/>
      <c r="J253" s="209"/>
      <c r="K253" s="209"/>
      <c r="L253" s="209"/>
      <c r="M253" s="209"/>
      <c r="N253" s="209"/>
      <c r="O253" s="208"/>
      <c r="P253" s="208"/>
      <c r="Q253" s="208"/>
      <c r="R253" s="208"/>
      <c r="S253" s="211"/>
      <c r="T253" s="208"/>
      <c r="U253" s="208"/>
      <c r="V253" s="208"/>
      <c r="W253" s="208"/>
      <c r="X253" s="208"/>
      <c r="Y253" s="208"/>
      <c r="Z253" s="208"/>
    </row>
    <row r="254" spans="2:26" s="192" customFormat="1" ht="12">
      <c r="B254" s="208"/>
      <c r="C254" s="208"/>
      <c r="D254" s="208"/>
      <c r="E254" s="208"/>
      <c r="F254" s="208"/>
      <c r="G254" s="208"/>
      <c r="H254" s="208"/>
      <c r="I254" s="209"/>
      <c r="J254" s="209"/>
      <c r="K254" s="209"/>
      <c r="L254" s="209"/>
      <c r="M254" s="209"/>
      <c r="N254" s="209"/>
      <c r="O254" s="208"/>
      <c r="P254" s="208"/>
      <c r="Q254" s="208"/>
      <c r="R254" s="208"/>
      <c r="S254" s="211"/>
      <c r="T254" s="208"/>
      <c r="U254" s="208"/>
      <c r="V254" s="208"/>
      <c r="W254" s="208"/>
      <c r="X254" s="208"/>
      <c r="Y254" s="208"/>
      <c r="Z254" s="208"/>
    </row>
    <row r="255" spans="2:26" s="192" customFormat="1" ht="12">
      <c r="B255" s="208"/>
      <c r="C255" s="208"/>
      <c r="D255" s="208"/>
      <c r="E255" s="208"/>
      <c r="F255" s="208"/>
      <c r="G255" s="208"/>
      <c r="H255" s="208"/>
      <c r="I255" s="209"/>
      <c r="J255" s="209"/>
      <c r="K255" s="209"/>
      <c r="L255" s="209"/>
      <c r="M255" s="209"/>
      <c r="N255" s="209"/>
      <c r="O255" s="208"/>
      <c r="P255" s="208"/>
      <c r="Q255" s="208"/>
      <c r="R255" s="208"/>
      <c r="S255" s="211"/>
      <c r="T255" s="208"/>
      <c r="U255" s="208"/>
      <c r="V255" s="208"/>
      <c r="W255" s="208"/>
      <c r="X255" s="208"/>
      <c r="Y255" s="208"/>
      <c r="Z255" s="208"/>
    </row>
    <row r="256" spans="2:26" s="192" customFormat="1" ht="12">
      <c r="B256" s="208"/>
      <c r="C256" s="208"/>
      <c r="D256" s="208"/>
      <c r="E256" s="208"/>
      <c r="F256" s="208"/>
      <c r="G256" s="208"/>
      <c r="H256" s="208"/>
      <c r="I256" s="209"/>
      <c r="J256" s="209"/>
      <c r="K256" s="209"/>
      <c r="L256" s="209"/>
      <c r="M256" s="209"/>
      <c r="N256" s="209"/>
      <c r="O256" s="208"/>
      <c r="P256" s="208"/>
      <c r="Q256" s="208"/>
      <c r="R256" s="208"/>
      <c r="S256" s="211"/>
      <c r="T256" s="208"/>
      <c r="U256" s="208"/>
      <c r="V256" s="208"/>
      <c r="W256" s="208"/>
      <c r="X256" s="208"/>
      <c r="Y256" s="208"/>
      <c r="Z256" s="208"/>
    </row>
    <row r="257" spans="2:26" s="192" customFormat="1" ht="12">
      <c r="B257" s="208"/>
      <c r="C257" s="208"/>
      <c r="D257" s="208"/>
      <c r="E257" s="208"/>
      <c r="F257" s="208"/>
      <c r="G257" s="208"/>
      <c r="H257" s="208"/>
      <c r="I257" s="209"/>
      <c r="J257" s="209"/>
      <c r="K257" s="209"/>
      <c r="L257" s="209"/>
      <c r="M257" s="209"/>
      <c r="N257" s="209"/>
      <c r="O257" s="208"/>
      <c r="P257" s="208"/>
      <c r="Q257" s="208"/>
      <c r="R257" s="208"/>
      <c r="S257" s="211"/>
      <c r="T257" s="208"/>
      <c r="U257" s="208"/>
      <c r="V257" s="208"/>
      <c r="W257" s="208"/>
      <c r="X257" s="208"/>
      <c r="Y257" s="208"/>
      <c r="Z257" s="208"/>
    </row>
    <row r="258" spans="2:26" s="192" customFormat="1" ht="12">
      <c r="B258" s="208"/>
      <c r="C258" s="208"/>
      <c r="D258" s="208"/>
      <c r="E258" s="208"/>
      <c r="F258" s="208"/>
      <c r="G258" s="208"/>
      <c r="H258" s="208"/>
      <c r="I258" s="209"/>
      <c r="J258" s="209"/>
      <c r="K258" s="209"/>
      <c r="L258" s="209"/>
      <c r="M258" s="209"/>
      <c r="N258" s="209"/>
      <c r="O258" s="208"/>
      <c r="P258" s="208"/>
      <c r="Q258" s="208"/>
      <c r="R258" s="208"/>
      <c r="S258" s="211"/>
      <c r="T258" s="208"/>
      <c r="U258" s="208"/>
      <c r="V258" s="208"/>
      <c r="W258" s="208"/>
      <c r="X258" s="208"/>
      <c r="Y258" s="208"/>
      <c r="Z258" s="208"/>
    </row>
    <row r="259" spans="2:26" s="192" customFormat="1" ht="12">
      <c r="B259" s="208"/>
      <c r="C259" s="208"/>
      <c r="D259" s="208"/>
      <c r="E259" s="208"/>
      <c r="F259" s="208"/>
      <c r="G259" s="208"/>
      <c r="H259" s="208"/>
      <c r="I259" s="209"/>
      <c r="J259" s="209"/>
      <c r="K259" s="209"/>
      <c r="L259" s="209"/>
      <c r="M259" s="209"/>
      <c r="N259" s="209"/>
      <c r="O259" s="208"/>
      <c r="P259" s="208"/>
      <c r="Q259" s="208"/>
      <c r="R259" s="208"/>
      <c r="S259" s="211"/>
      <c r="T259" s="208"/>
      <c r="U259" s="208"/>
      <c r="V259" s="208"/>
      <c r="W259" s="208"/>
      <c r="X259" s="208"/>
      <c r="Y259" s="208"/>
      <c r="Z259" s="208"/>
    </row>
    <row r="260" spans="2:26" s="192" customFormat="1" ht="12">
      <c r="B260" s="208"/>
      <c r="C260" s="208"/>
      <c r="D260" s="208"/>
      <c r="E260" s="208"/>
      <c r="F260" s="208"/>
      <c r="G260" s="208"/>
      <c r="H260" s="208"/>
      <c r="I260" s="209"/>
      <c r="J260" s="209"/>
      <c r="K260" s="209"/>
      <c r="L260" s="209"/>
      <c r="M260" s="209"/>
      <c r="N260" s="209"/>
      <c r="O260" s="208"/>
      <c r="P260" s="208"/>
      <c r="Q260" s="208"/>
      <c r="R260" s="208"/>
      <c r="S260" s="211"/>
      <c r="T260" s="208"/>
      <c r="U260" s="208"/>
      <c r="V260" s="208"/>
      <c r="W260" s="208"/>
      <c r="X260" s="208"/>
      <c r="Y260" s="208"/>
      <c r="Z260" s="208"/>
    </row>
    <row r="261" spans="2:26" s="192" customFormat="1" ht="12">
      <c r="B261" s="208"/>
      <c r="C261" s="208"/>
      <c r="D261" s="208"/>
      <c r="E261" s="208"/>
      <c r="F261" s="208"/>
      <c r="G261" s="208"/>
      <c r="H261" s="208"/>
      <c r="I261" s="209"/>
      <c r="J261" s="209"/>
      <c r="K261" s="209"/>
      <c r="L261" s="209"/>
      <c r="M261" s="209"/>
      <c r="N261" s="209"/>
      <c r="O261" s="208"/>
      <c r="P261" s="208"/>
      <c r="Q261" s="208"/>
      <c r="R261" s="208"/>
      <c r="S261" s="211"/>
      <c r="T261" s="208"/>
      <c r="U261" s="208"/>
      <c r="V261" s="208"/>
      <c r="W261" s="208"/>
      <c r="X261" s="208"/>
      <c r="Y261" s="208"/>
      <c r="Z261" s="208"/>
    </row>
    <row r="262" spans="2:26" s="192" customFormat="1" ht="12">
      <c r="B262" s="208"/>
      <c r="C262" s="208"/>
      <c r="D262" s="208"/>
      <c r="E262" s="208"/>
      <c r="F262" s="208"/>
      <c r="G262" s="208"/>
      <c r="H262" s="208"/>
      <c r="I262" s="209"/>
      <c r="J262" s="209"/>
      <c r="K262" s="209"/>
      <c r="L262" s="209"/>
      <c r="M262" s="209"/>
      <c r="N262" s="209"/>
      <c r="O262" s="208"/>
      <c r="P262" s="208"/>
      <c r="Q262" s="208"/>
      <c r="R262" s="208"/>
      <c r="S262" s="211"/>
      <c r="T262" s="208"/>
      <c r="U262" s="208"/>
      <c r="V262" s="208"/>
      <c r="W262" s="208"/>
      <c r="X262" s="208"/>
      <c r="Y262" s="208"/>
      <c r="Z262" s="208"/>
    </row>
    <row r="263" spans="2:26" s="192" customFormat="1" ht="12">
      <c r="B263" s="208"/>
      <c r="C263" s="208"/>
      <c r="D263" s="208"/>
      <c r="E263" s="208"/>
      <c r="F263" s="208"/>
      <c r="G263" s="208"/>
      <c r="H263" s="208"/>
      <c r="I263" s="209"/>
      <c r="J263" s="209"/>
      <c r="K263" s="209"/>
      <c r="L263" s="209"/>
      <c r="M263" s="209"/>
      <c r="N263" s="209"/>
      <c r="O263" s="208"/>
      <c r="P263" s="208"/>
      <c r="Q263" s="208"/>
      <c r="R263" s="208"/>
      <c r="S263" s="211"/>
      <c r="T263" s="208"/>
      <c r="U263" s="208"/>
      <c r="V263" s="208"/>
      <c r="W263" s="208"/>
      <c r="X263" s="208"/>
      <c r="Y263" s="208"/>
      <c r="Z263" s="208"/>
    </row>
    <row r="264" spans="2:26" s="192" customFormat="1" ht="12">
      <c r="B264" s="208"/>
      <c r="C264" s="208"/>
      <c r="D264" s="208"/>
      <c r="E264" s="208"/>
      <c r="F264" s="208"/>
      <c r="G264" s="208"/>
      <c r="H264" s="208"/>
      <c r="I264" s="209"/>
      <c r="J264" s="209"/>
      <c r="K264" s="209"/>
      <c r="L264" s="209"/>
      <c r="M264" s="209"/>
      <c r="N264" s="209"/>
      <c r="O264" s="208"/>
      <c r="P264" s="208"/>
      <c r="Q264" s="208"/>
      <c r="R264" s="208"/>
      <c r="S264" s="211"/>
      <c r="T264" s="208"/>
      <c r="U264" s="208"/>
      <c r="V264" s="208"/>
      <c r="W264" s="208"/>
      <c r="X264" s="208"/>
      <c r="Y264" s="208"/>
      <c r="Z264" s="208"/>
    </row>
    <row r="265" spans="2:26" s="192" customFormat="1" ht="12">
      <c r="B265" s="208"/>
      <c r="C265" s="208"/>
      <c r="D265" s="208"/>
      <c r="E265" s="208"/>
      <c r="F265" s="208"/>
      <c r="G265" s="208"/>
      <c r="H265" s="208"/>
      <c r="I265" s="209"/>
      <c r="J265" s="209"/>
      <c r="K265" s="209"/>
      <c r="L265" s="209"/>
      <c r="M265" s="209"/>
      <c r="N265" s="209"/>
      <c r="O265" s="208"/>
      <c r="P265" s="208"/>
      <c r="Q265" s="208"/>
      <c r="R265" s="208"/>
      <c r="S265" s="211"/>
      <c r="T265" s="208"/>
      <c r="U265" s="208"/>
      <c r="V265" s="208"/>
      <c r="W265" s="208"/>
      <c r="X265" s="208"/>
      <c r="Y265" s="208"/>
      <c r="Z265" s="208"/>
    </row>
    <row r="266" spans="2:26" s="192" customFormat="1" ht="12">
      <c r="B266" s="208"/>
      <c r="C266" s="208"/>
      <c r="D266" s="208"/>
      <c r="E266" s="208"/>
      <c r="F266" s="208"/>
      <c r="G266" s="208"/>
      <c r="H266" s="208"/>
      <c r="I266" s="209"/>
      <c r="J266" s="209"/>
      <c r="K266" s="209"/>
      <c r="L266" s="209"/>
      <c r="M266" s="209"/>
      <c r="N266" s="209"/>
      <c r="O266" s="208"/>
      <c r="P266" s="208"/>
      <c r="Q266" s="208"/>
      <c r="R266" s="208"/>
      <c r="S266" s="211"/>
      <c r="T266" s="208"/>
      <c r="U266" s="208"/>
      <c r="V266" s="208"/>
      <c r="W266" s="208"/>
      <c r="X266" s="208"/>
      <c r="Y266" s="208"/>
      <c r="Z266" s="208"/>
    </row>
    <row r="267" spans="2:26" s="192" customFormat="1" ht="12">
      <c r="B267" s="208"/>
      <c r="C267" s="208"/>
      <c r="D267" s="208"/>
      <c r="E267" s="208"/>
      <c r="F267" s="208"/>
      <c r="G267" s="208"/>
      <c r="H267" s="208"/>
      <c r="I267" s="209"/>
      <c r="J267" s="209"/>
      <c r="K267" s="209"/>
      <c r="L267" s="209"/>
      <c r="M267" s="209"/>
      <c r="N267" s="209"/>
      <c r="O267" s="208"/>
      <c r="P267" s="208"/>
      <c r="Q267" s="208"/>
      <c r="R267" s="208"/>
      <c r="S267" s="211"/>
      <c r="T267" s="208"/>
      <c r="U267" s="208"/>
      <c r="V267" s="208"/>
      <c r="W267" s="208"/>
      <c r="X267" s="208"/>
      <c r="Y267" s="208"/>
      <c r="Z267" s="208"/>
    </row>
    <row r="268" spans="2:26" s="192" customFormat="1" ht="12">
      <c r="B268" s="208"/>
      <c r="C268" s="208"/>
      <c r="D268" s="208"/>
      <c r="E268" s="208"/>
      <c r="F268" s="208"/>
      <c r="G268" s="208"/>
      <c r="H268" s="208"/>
      <c r="I268" s="209"/>
      <c r="J268" s="209"/>
      <c r="K268" s="209"/>
      <c r="L268" s="209"/>
      <c r="M268" s="209"/>
      <c r="N268" s="209"/>
      <c r="O268" s="208"/>
      <c r="P268" s="208"/>
      <c r="Q268" s="208"/>
      <c r="R268" s="208"/>
      <c r="S268" s="211"/>
      <c r="T268" s="208"/>
      <c r="U268" s="208"/>
      <c r="V268" s="208"/>
      <c r="W268" s="208"/>
      <c r="X268" s="208"/>
      <c r="Y268" s="208"/>
      <c r="Z268" s="208"/>
    </row>
    <row r="269" spans="2:26" s="192" customFormat="1" ht="12">
      <c r="B269" s="208"/>
      <c r="C269" s="208"/>
      <c r="D269" s="208"/>
      <c r="E269" s="208"/>
      <c r="F269" s="208"/>
      <c r="G269" s="208"/>
      <c r="H269" s="208"/>
      <c r="I269" s="209"/>
      <c r="J269" s="209"/>
      <c r="K269" s="209"/>
      <c r="L269" s="209"/>
      <c r="M269" s="209"/>
      <c r="N269" s="209"/>
      <c r="O269" s="208"/>
      <c r="P269" s="208"/>
      <c r="Q269" s="208"/>
      <c r="R269" s="208"/>
      <c r="S269" s="211"/>
      <c r="T269" s="208"/>
      <c r="U269" s="208"/>
      <c r="V269" s="208"/>
      <c r="W269" s="208"/>
      <c r="X269" s="208"/>
      <c r="Y269" s="208"/>
      <c r="Z269" s="208"/>
    </row>
    <row r="270" spans="2:26" s="192" customFormat="1" ht="12">
      <c r="B270" s="208"/>
      <c r="C270" s="208"/>
      <c r="D270" s="208"/>
      <c r="E270" s="208"/>
      <c r="F270" s="208"/>
      <c r="G270" s="208"/>
      <c r="H270" s="208"/>
      <c r="I270" s="209"/>
      <c r="J270" s="209"/>
      <c r="K270" s="209"/>
      <c r="L270" s="209"/>
      <c r="M270" s="209"/>
      <c r="N270" s="209"/>
      <c r="O270" s="208"/>
      <c r="P270" s="208"/>
      <c r="Q270" s="208"/>
      <c r="R270" s="208"/>
      <c r="S270" s="211"/>
      <c r="T270" s="208"/>
      <c r="U270" s="208"/>
      <c r="V270" s="208"/>
      <c r="W270" s="208"/>
      <c r="X270" s="208"/>
      <c r="Y270" s="208"/>
      <c r="Z270" s="208"/>
    </row>
    <row r="271" spans="2:26" s="192" customFormat="1" ht="12">
      <c r="B271" s="208"/>
      <c r="C271" s="208"/>
      <c r="D271" s="208"/>
      <c r="E271" s="208"/>
      <c r="F271" s="208"/>
      <c r="G271" s="208"/>
      <c r="H271" s="208"/>
      <c r="I271" s="209"/>
      <c r="J271" s="209"/>
      <c r="K271" s="209"/>
      <c r="L271" s="209"/>
      <c r="M271" s="209"/>
      <c r="N271" s="209"/>
      <c r="O271" s="208"/>
      <c r="P271" s="208"/>
      <c r="Q271" s="208"/>
      <c r="R271" s="208"/>
      <c r="S271" s="211"/>
      <c r="T271" s="208"/>
      <c r="U271" s="208"/>
      <c r="V271" s="208"/>
      <c r="W271" s="208"/>
      <c r="X271" s="208"/>
      <c r="Y271" s="208"/>
      <c r="Z271" s="208"/>
    </row>
    <row r="272" spans="2:26" s="192" customFormat="1" ht="12">
      <c r="B272" s="208"/>
      <c r="C272" s="208"/>
      <c r="D272" s="208"/>
      <c r="E272" s="208"/>
      <c r="F272" s="208"/>
      <c r="G272" s="208"/>
      <c r="H272" s="208"/>
      <c r="I272" s="209"/>
      <c r="J272" s="209"/>
      <c r="K272" s="209"/>
      <c r="L272" s="209"/>
      <c r="M272" s="209"/>
      <c r="N272" s="209"/>
      <c r="O272" s="208"/>
      <c r="P272" s="208"/>
      <c r="Q272" s="208"/>
      <c r="R272" s="208"/>
      <c r="S272" s="211"/>
      <c r="T272" s="208"/>
      <c r="U272" s="208"/>
      <c r="V272" s="208"/>
      <c r="W272" s="208"/>
      <c r="X272" s="208"/>
      <c r="Y272" s="208"/>
      <c r="Z272" s="208"/>
    </row>
    <row r="273" spans="2:26" s="192" customFormat="1" ht="12">
      <c r="B273" s="208"/>
      <c r="C273" s="208"/>
      <c r="D273" s="208"/>
      <c r="E273" s="208"/>
      <c r="F273" s="208"/>
      <c r="G273" s="208"/>
      <c r="H273" s="208"/>
      <c r="I273" s="209"/>
      <c r="J273" s="209"/>
      <c r="K273" s="209"/>
      <c r="L273" s="209"/>
      <c r="M273" s="209"/>
      <c r="N273" s="209"/>
      <c r="O273" s="208"/>
      <c r="P273" s="208"/>
      <c r="Q273" s="208"/>
      <c r="R273" s="208"/>
      <c r="S273" s="211"/>
      <c r="T273" s="208"/>
      <c r="U273" s="208"/>
      <c r="V273" s="208"/>
      <c r="W273" s="208"/>
      <c r="X273" s="208"/>
      <c r="Y273" s="208"/>
      <c r="Z273" s="208"/>
    </row>
    <row r="274" spans="2:26" s="192" customFormat="1" ht="12">
      <c r="B274" s="208"/>
      <c r="C274" s="208"/>
      <c r="D274" s="208"/>
      <c r="E274" s="208"/>
      <c r="F274" s="208"/>
      <c r="G274" s="208"/>
      <c r="H274" s="208"/>
      <c r="I274" s="209"/>
      <c r="J274" s="209"/>
      <c r="K274" s="209"/>
      <c r="L274" s="209"/>
      <c r="M274" s="209"/>
      <c r="N274" s="209"/>
      <c r="O274" s="208"/>
      <c r="P274" s="208"/>
      <c r="Q274" s="208"/>
      <c r="R274" s="208"/>
      <c r="S274" s="211"/>
      <c r="T274" s="208"/>
      <c r="U274" s="208"/>
      <c r="V274" s="208"/>
      <c r="W274" s="208"/>
      <c r="X274" s="208"/>
      <c r="Y274" s="208"/>
      <c r="Z274" s="208"/>
    </row>
    <row r="275" spans="2:26" s="192" customFormat="1" ht="12">
      <c r="B275" s="208"/>
      <c r="C275" s="208"/>
      <c r="D275" s="208"/>
      <c r="E275" s="208"/>
      <c r="F275" s="208"/>
      <c r="G275" s="208"/>
      <c r="H275" s="208"/>
      <c r="I275" s="209"/>
      <c r="J275" s="209"/>
      <c r="K275" s="209"/>
      <c r="L275" s="209"/>
      <c r="M275" s="209"/>
      <c r="N275" s="209"/>
      <c r="O275" s="208"/>
      <c r="P275" s="208"/>
      <c r="Q275" s="208"/>
      <c r="R275" s="208"/>
      <c r="S275" s="211"/>
      <c r="T275" s="208"/>
      <c r="U275" s="208"/>
      <c r="V275" s="208"/>
      <c r="W275" s="208"/>
      <c r="X275" s="208"/>
      <c r="Y275" s="208"/>
      <c r="Z275" s="208"/>
    </row>
    <row r="276" spans="2:26" s="192" customFormat="1" ht="12">
      <c r="B276" s="208"/>
      <c r="C276" s="208"/>
      <c r="D276" s="208"/>
      <c r="E276" s="208"/>
      <c r="F276" s="208"/>
      <c r="G276" s="208"/>
      <c r="H276" s="208"/>
      <c r="I276" s="209"/>
      <c r="J276" s="209"/>
      <c r="K276" s="209"/>
      <c r="L276" s="209"/>
      <c r="M276" s="209"/>
      <c r="N276" s="209"/>
      <c r="O276" s="208"/>
      <c r="P276" s="208"/>
      <c r="Q276" s="208"/>
      <c r="R276" s="208"/>
      <c r="S276" s="211"/>
      <c r="T276" s="208"/>
      <c r="U276" s="208"/>
      <c r="V276" s="208"/>
      <c r="W276" s="208"/>
      <c r="X276" s="208"/>
      <c r="Y276" s="208"/>
      <c r="Z276" s="208"/>
    </row>
    <row r="277" spans="2:26" s="192" customFormat="1" ht="12">
      <c r="B277" s="208"/>
      <c r="C277" s="208"/>
      <c r="D277" s="208"/>
      <c r="E277" s="208"/>
      <c r="F277" s="208"/>
      <c r="G277" s="208"/>
      <c r="H277" s="208"/>
      <c r="I277" s="209"/>
      <c r="J277" s="209"/>
      <c r="K277" s="209"/>
      <c r="L277" s="209"/>
      <c r="M277" s="209"/>
      <c r="N277" s="209"/>
      <c r="O277" s="208"/>
      <c r="P277" s="208"/>
      <c r="Q277" s="208"/>
      <c r="R277" s="208"/>
      <c r="S277" s="211"/>
      <c r="T277" s="208"/>
      <c r="U277" s="208"/>
      <c r="V277" s="208"/>
      <c r="W277" s="208"/>
      <c r="X277" s="208"/>
      <c r="Y277" s="208"/>
      <c r="Z277" s="208"/>
    </row>
    <row r="278" spans="2:26" s="192" customFormat="1" ht="12">
      <c r="B278" s="208"/>
      <c r="C278" s="208"/>
      <c r="D278" s="208"/>
      <c r="E278" s="208"/>
      <c r="F278" s="208"/>
      <c r="G278" s="208"/>
      <c r="H278" s="208"/>
      <c r="I278" s="209"/>
      <c r="J278" s="209"/>
      <c r="K278" s="209"/>
      <c r="L278" s="209"/>
      <c r="M278" s="209"/>
      <c r="N278" s="209"/>
      <c r="O278" s="208"/>
      <c r="P278" s="208"/>
      <c r="Q278" s="208"/>
      <c r="R278" s="208"/>
      <c r="S278" s="211"/>
      <c r="T278" s="208"/>
      <c r="U278" s="208"/>
      <c r="V278" s="208"/>
      <c r="W278" s="208"/>
      <c r="X278" s="208"/>
      <c r="Y278" s="208"/>
      <c r="Z278" s="208"/>
    </row>
    <row r="279" spans="2:26" s="192" customFormat="1" ht="12">
      <c r="B279" s="208"/>
      <c r="C279" s="208"/>
      <c r="D279" s="208"/>
      <c r="E279" s="208"/>
      <c r="F279" s="208"/>
      <c r="G279" s="208"/>
      <c r="H279" s="208"/>
      <c r="I279" s="209"/>
      <c r="J279" s="209"/>
      <c r="K279" s="209"/>
      <c r="L279" s="209"/>
      <c r="M279" s="209"/>
      <c r="N279" s="209"/>
      <c r="O279" s="208"/>
      <c r="P279" s="208"/>
      <c r="Q279" s="208"/>
      <c r="R279" s="208"/>
      <c r="S279" s="211"/>
      <c r="T279" s="208"/>
      <c r="U279" s="208"/>
      <c r="V279" s="208"/>
      <c r="W279" s="208"/>
      <c r="X279" s="208"/>
      <c r="Y279" s="208"/>
      <c r="Z279" s="208"/>
    </row>
    <row r="280" spans="2:26" s="192" customFormat="1" ht="12">
      <c r="B280" s="208"/>
      <c r="C280" s="208"/>
      <c r="D280" s="208"/>
      <c r="E280" s="208"/>
      <c r="F280" s="208"/>
      <c r="G280" s="208"/>
      <c r="H280" s="208"/>
      <c r="I280" s="209"/>
      <c r="J280" s="209"/>
      <c r="K280" s="209"/>
      <c r="L280" s="209"/>
      <c r="M280" s="209"/>
      <c r="N280" s="209"/>
      <c r="O280" s="208"/>
      <c r="P280" s="208"/>
      <c r="Q280" s="208"/>
      <c r="R280" s="208"/>
      <c r="S280" s="211"/>
      <c r="T280" s="208"/>
      <c r="U280" s="208"/>
      <c r="V280" s="208"/>
      <c r="W280" s="208"/>
      <c r="X280" s="208"/>
      <c r="Y280" s="208"/>
      <c r="Z280" s="208"/>
    </row>
    <row r="281" spans="2:26" s="192" customFormat="1" ht="12">
      <c r="B281" s="208"/>
      <c r="C281" s="208"/>
      <c r="D281" s="208"/>
      <c r="E281" s="208"/>
      <c r="F281" s="208"/>
      <c r="G281" s="208"/>
      <c r="H281" s="208"/>
      <c r="I281" s="209"/>
      <c r="J281" s="209"/>
      <c r="K281" s="209"/>
      <c r="L281" s="209"/>
      <c r="M281" s="209"/>
      <c r="N281" s="209"/>
      <c r="O281" s="208"/>
      <c r="P281" s="208"/>
      <c r="Q281" s="208"/>
      <c r="R281" s="208"/>
      <c r="S281" s="211"/>
      <c r="T281" s="208"/>
      <c r="U281" s="208"/>
      <c r="V281" s="208"/>
      <c r="W281" s="208"/>
      <c r="X281" s="208"/>
      <c r="Y281" s="208"/>
      <c r="Z281" s="208"/>
    </row>
    <row r="282" spans="2:26" s="192" customFormat="1" ht="12">
      <c r="B282" s="208"/>
      <c r="C282" s="208"/>
      <c r="D282" s="208"/>
      <c r="E282" s="208"/>
      <c r="F282" s="208"/>
      <c r="G282" s="208"/>
      <c r="H282" s="208"/>
      <c r="I282" s="209"/>
      <c r="J282" s="209"/>
      <c r="K282" s="209"/>
      <c r="L282" s="209"/>
      <c r="M282" s="209"/>
      <c r="N282" s="209"/>
      <c r="O282" s="208"/>
      <c r="P282" s="208"/>
      <c r="Q282" s="208"/>
      <c r="R282" s="208"/>
      <c r="S282" s="211"/>
      <c r="T282" s="208"/>
      <c r="U282" s="208"/>
      <c r="V282" s="208"/>
      <c r="W282" s="208"/>
      <c r="X282" s="208"/>
      <c r="Y282" s="208"/>
      <c r="Z282" s="208"/>
    </row>
    <row r="283" spans="2:26" s="192" customFormat="1" ht="12">
      <c r="B283" s="208"/>
      <c r="C283" s="208"/>
      <c r="D283" s="208"/>
      <c r="E283" s="208"/>
      <c r="F283" s="208"/>
      <c r="G283" s="208"/>
      <c r="H283" s="208"/>
      <c r="I283" s="209"/>
      <c r="J283" s="209"/>
      <c r="K283" s="209"/>
      <c r="L283" s="209"/>
      <c r="M283" s="209"/>
      <c r="N283" s="209"/>
      <c r="O283" s="208"/>
      <c r="P283" s="208"/>
      <c r="Q283" s="208"/>
      <c r="R283" s="208"/>
      <c r="S283" s="211"/>
      <c r="T283" s="208"/>
      <c r="U283" s="208"/>
      <c r="V283" s="208"/>
      <c r="W283" s="208"/>
      <c r="X283" s="208"/>
      <c r="Y283" s="208"/>
      <c r="Z283" s="208"/>
    </row>
    <row r="284" spans="2:26" s="192" customFormat="1" ht="12">
      <c r="B284" s="208"/>
      <c r="C284" s="208"/>
      <c r="D284" s="208"/>
      <c r="E284" s="208"/>
      <c r="F284" s="208"/>
      <c r="G284" s="208"/>
      <c r="H284" s="208"/>
      <c r="I284" s="209"/>
      <c r="J284" s="209"/>
      <c r="K284" s="209"/>
      <c r="L284" s="209"/>
      <c r="M284" s="209"/>
      <c r="N284" s="209"/>
      <c r="O284" s="208"/>
      <c r="P284" s="208"/>
      <c r="Q284" s="208"/>
      <c r="R284" s="208"/>
      <c r="S284" s="211"/>
      <c r="T284" s="208"/>
      <c r="U284" s="208"/>
      <c r="V284" s="208"/>
      <c r="W284" s="208"/>
      <c r="X284" s="208"/>
      <c r="Y284" s="208"/>
      <c r="Z284" s="208"/>
    </row>
    <row r="285" spans="2:26" s="192" customFormat="1" ht="12">
      <c r="B285" s="208"/>
      <c r="C285" s="208"/>
      <c r="D285" s="208"/>
      <c r="E285" s="208"/>
      <c r="F285" s="208"/>
      <c r="G285" s="208"/>
      <c r="H285" s="208"/>
      <c r="I285" s="209"/>
      <c r="J285" s="209"/>
      <c r="K285" s="209"/>
      <c r="L285" s="209"/>
      <c r="M285" s="209"/>
      <c r="N285" s="209"/>
      <c r="O285" s="208"/>
      <c r="P285" s="208"/>
      <c r="Q285" s="208"/>
      <c r="R285" s="208"/>
      <c r="S285" s="211"/>
      <c r="T285" s="208"/>
      <c r="U285" s="208"/>
      <c r="V285" s="208"/>
      <c r="W285" s="208"/>
      <c r="X285" s="208"/>
      <c r="Y285" s="208"/>
      <c r="Z285" s="208"/>
    </row>
    <row r="286" spans="2:26" s="192" customFormat="1" ht="12">
      <c r="B286" s="208"/>
      <c r="C286" s="208"/>
      <c r="D286" s="208"/>
      <c r="E286" s="208"/>
      <c r="F286" s="208"/>
      <c r="G286" s="208"/>
      <c r="H286" s="208"/>
      <c r="I286" s="209"/>
      <c r="J286" s="209"/>
      <c r="K286" s="209"/>
      <c r="L286" s="209"/>
      <c r="M286" s="209"/>
      <c r="N286" s="209"/>
      <c r="O286" s="208"/>
      <c r="P286" s="208"/>
      <c r="Q286" s="208"/>
      <c r="R286" s="208"/>
      <c r="S286" s="211"/>
      <c r="T286" s="208"/>
      <c r="U286" s="208"/>
      <c r="V286" s="208"/>
      <c r="W286" s="208"/>
      <c r="X286" s="208"/>
      <c r="Y286" s="208"/>
      <c r="Z286" s="208"/>
    </row>
    <row r="287" spans="2:26" s="192" customFormat="1" ht="12">
      <c r="B287" s="208"/>
      <c r="C287" s="208"/>
      <c r="D287" s="208"/>
      <c r="E287" s="208"/>
      <c r="F287" s="208"/>
      <c r="G287" s="208"/>
      <c r="H287" s="208"/>
      <c r="I287" s="209"/>
      <c r="J287" s="209"/>
      <c r="K287" s="209"/>
      <c r="L287" s="209"/>
      <c r="M287" s="209"/>
      <c r="N287" s="209"/>
      <c r="O287" s="208"/>
      <c r="P287" s="208"/>
      <c r="Q287" s="208"/>
      <c r="R287" s="208"/>
      <c r="S287" s="211"/>
      <c r="T287" s="208"/>
      <c r="U287" s="208"/>
      <c r="V287" s="208"/>
      <c r="W287" s="208"/>
      <c r="X287" s="208"/>
      <c r="Y287" s="208"/>
      <c r="Z287" s="208"/>
    </row>
    <row r="288" spans="2:26" s="192" customFormat="1" ht="12">
      <c r="B288" s="208"/>
      <c r="C288" s="208"/>
      <c r="D288" s="208"/>
      <c r="E288" s="208"/>
      <c r="F288" s="208"/>
      <c r="G288" s="208"/>
      <c r="H288" s="208"/>
      <c r="I288" s="209"/>
      <c r="J288" s="209"/>
      <c r="K288" s="209"/>
      <c r="L288" s="209"/>
      <c r="M288" s="209"/>
      <c r="N288" s="209"/>
      <c r="O288" s="208"/>
      <c r="P288" s="208"/>
      <c r="Q288" s="208"/>
      <c r="R288" s="208"/>
      <c r="S288" s="211"/>
      <c r="T288" s="208"/>
      <c r="U288" s="208"/>
      <c r="V288" s="208"/>
      <c r="W288" s="208"/>
      <c r="X288" s="208"/>
      <c r="Y288" s="208"/>
      <c r="Z288" s="208"/>
    </row>
    <row r="289" spans="2:26" s="192" customFormat="1" ht="12">
      <c r="B289" s="208"/>
      <c r="C289" s="208"/>
      <c r="D289" s="208"/>
      <c r="E289" s="208"/>
      <c r="F289" s="208"/>
      <c r="G289" s="208"/>
      <c r="H289" s="208"/>
      <c r="I289" s="209"/>
      <c r="J289" s="209"/>
      <c r="K289" s="209"/>
      <c r="L289" s="209"/>
      <c r="M289" s="209"/>
      <c r="N289" s="209"/>
      <c r="O289" s="208"/>
      <c r="P289" s="208"/>
      <c r="Q289" s="208"/>
      <c r="R289" s="208"/>
      <c r="S289" s="211"/>
      <c r="T289" s="208"/>
      <c r="U289" s="208"/>
      <c r="V289" s="208"/>
      <c r="W289" s="208"/>
      <c r="X289" s="208"/>
      <c r="Y289" s="208"/>
      <c r="Z289" s="208"/>
    </row>
    <row r="290" spans="2:26" s="192" customFormat="1" ht="12">
      <c r="B290" s="208"/>
      <c r="C290" s="208"/>
      <c r="D290" s="208"/>
      <c r="E290" s="208"/>
      <c r="F290" s="208"/>
      <c r="G290" s="208"/>
      <c r="H290" s="208"/>
      <c r="I290" s="209"/>
      <c r="J290" s="209"/>
      <c r="K290" s="209"/>
      <c r="L290" s="209"/>
      <c r="M290" s="209"/>
      <c r="N290" s="209"/>
      <c r="O290" s="208"/>
      <c r="P290" s="208"/>
      <c r="Q290" s="208"/>
      <c r="R290" s="208"/>
      <c r="S290" s="211"/>
      <c r="T290" s="208"/>
      <c r="U290" s="208"/>
      <c r="V290" s="208"/>
      <c r="W290" s="208"/>
      <c r="X290" s="208"/>
      <c r="Y290" s="208"/>
      <c r="Z290" s="208"/>
    </row>
    <row r="291" spans="2:26" s="192" customFormat="1" ht="12">
      <c r="B291" s="208"/>
      <c r="C291" s="208"/>
      <c r="D291" s="208"/>
      <c r="E291" s="208"/>
      <c r="F291" s="208"/>
      <c r="G291" s="208"/>
      <c r="H291" s="208"/>
      <c r="I291" s="209"/>
      <c r="J291" s="209"/>
      <c r="K291" s="209"/>
      <c r="L291" s="209"/>
      <c r="M291" s="209"/>
      <c r="N291" s="209"/>
      <c r="O291" s="208"/>
      <c r="P291" s="208"/>
      <c r="Q291" s="208"/>
      <c r="R291" s="208"/>
      <c r="S291" s="211"/>
      <c r="T291" s="208"/>
      <c r="U291" s="208"/>
      <c r="V291" s="208"/>
      <c r="W291" s="208"/>
      <c r="X291" s="208"/>
      <c r="Y291" s="208"/>
      <c r="Z291" s="208"/>
    </row>
    <row r="292" spans="2:26" s="192" customFormat="1" ht="12">
      <c r="B292" s="208"/>
      <c r="C292" s="208"/>
      <c r="D292" s="208"/>
      <c r="E292" s="208"/>
      <c r="F292" s="208"/>
      <c r="G292" s="208"/>
      <c r="H292" s="208"/>
      <c r="I292" s="209"/>
      <c r="J292" s="209"/>
      <c r="K292" s="209"/>
      <c r="L292" s="209"/>
      <c r="M292" s="209"/>
      <c r="N292" s="209"/>
      <c r="O292" s="208"/>
      <c r="P292" s="208"/>
      <c r="Q292" s="208"/>
      <c r="R292" s="208"/>
      <c r="S292" s="211"/>
      <c r="T292" s="208"/>
      <c r="U292" s="208"/>
      <c r="V292" s="208"/>
      <c r="W292" s="208"/>
      <c r="X292" s="208"/>
      <c r="Y292" s="208"/>
      <c r="Z292" s="208"/>
    </row>
    <row r="293" spans="2:26" s="192" customFormat="1" ht="12">
      <c r="B293" s="208"/>
      <c r="C293" s="208"/>
      <c r="D293" s="208"/>
      <c r="E293" s="208"/>
      <c r="F293" s="208"/>
      <c r="G293" s="208"/>
      <c r="H293" s="208"/>
      <c r="I293" s="209"/>
      <c r="J293" s="209"/>
      <c r="K293" s="209"/>
      <c r="L293" s="209"/>
      <c r="M293" s="209"/>
      <c r="N293" s="209"/>
      <c r="O293" s="208"/>
      <c r="P293" s="208"/>
      <c r="Q293" s="208"/>
      <c r="R293" s="208"/>
      <c r="S293" s="211"/>
      <c r="T293" s="208"/>
      <c r="U293" s="208"/>
      <c r="V293" s="208"/>
      <c r="W293" s="208"/>
      <c r="X293" s="208"/>
      <c r="Y293" s="208"/>
      <c r="Z293" s="208"/>
    </row>
    <row r="294" spans="2:26" s="192" customFormat="1" ht="12">
      <c r="B294" s="208"/>
      <c r="C294" s="208"/>
      <c r="D294" s="208"/>
      <c r="E294" s="208"/>
      <c r="F294" s="208"/>
      <c r="G294" s="208"/>
      <c r="H294" s="208"/>
      <c r="I294" s="209"/>
      <c r="J294" s="209"/>
      <c r="K294" s="209"/>
      <c r="L294" s="209"/>
      <c r="M294" s="209"/>
      <c r="N294" s="209"/>
      <c r="O294" s="208"/>
      <c r="P294" s="208"/>
      <c r="Q294" s="208"/>
      <c r="R294" s="208"/>
      <c r="S294" s="211"/>
      <c r="T294" s="208"/>
      <c r="U294" s="208"/>
      <c r="V294" s="208"/>
      <c r="W294" s="208"/>
      <c r="X294" s="208"/>
      <c r="Y294" s="208"/>
      <c r="Z294" s="208"/>
    </row>
    <row r="295" spans="2:26" s="192" customFormat="1" ht="12">
      <c r="B295" s="208"/>
      <c r="C295" s="208"/>
      <c r="D295" s="208"/>
      <c r="E295" s="208"/>
      <c r="F295" s="208"/>
      <c r="G295" s="208"/>
      <c r="H295" s="208"/>
      <c r="I295" s="209"/>
      <c r="J295" s="209"/>
      <c r="K295" s="209"/>
      <c r="L295" s="209"/>
      <c r="M295" s="209"/>
      <c r="N295" s="209"/>
      <c r="O295" s="208"/>
      <c r="P295" s="208"/>
      <c r="Q295" s="208"/>
      <c r="R295" s="208"/>
      <c r="S295" s="211"/>
      <c r="T295" s="208"/>
      <c r="U295" s="208"/>
      <c r="V295" s="208"/>
      <c r="W295" s="208"/>
      <c r="X295" s="208"/>
      <c r="Y295" s="208"/>
      <c r="Z295" s="208"/>
    </row>
    <row r="296" spans="2:26" s="192" customFormat="1" ht="12">
      <c r="B296" s="208"/>
      <c r="C296" s="208"/>
      <c r="D296" s="208"/>
      <c r="E296" s="208"/>
      <c r="F296" s="208"/>
      <c r="G296" s="208"/>
      <c r="H296" s="208"/>
      <c r="I296" s="209"/>
      <c r="J296" s="209"/>
      <c r="K296" s="209"/>
      <c r="L296" s="209"/>
      <c r="M296" s="209"/>
      <c r="N296" s="209"/>
      <c r="O296" s="208"/>
      <c r="P296" s="208"/>
      <c r="Q296" s="208"/>
      <c r="R296" s="208"/>
      <c r="S296" s="211"/>
      <c r="T296" s="208"/>
      <c r="U296" s="208"/>
      <c r="V296" s="208"/>
      <c r="W296" s="208"/>
      <c r="X296" s="208"/>
      <c r="Y296" s="208"/>
      <c r="Z296" s="208"/>
    </row>
    <row r="297" spans="2:26" s="192" customFormat="1" ht="12">
      <c r="B297" s="208"/>
      <c r="C297" s="208"/>
      <c r="D297" s="208"/>
      <c r="E297" s="208"/>
      <c r="F297" s="208"/>
      <c r="G297" s="208"/>
      <c r="H297" s="208"/>
      <c r="I297" s="209"/>
      <c r="J297" s="209"/>
      <c r="K297" s="209"/>
      <c r="L297" s="209"/>
      <c r="M297" s="209"/>
      <c r="N297" s="209"/>
      <c r="O297" s="208"/>
      <c r="P297" s="208"/>
      <c r="Q297" s="208"/>
      <c r="R297" s="208"/>
      <c r="S297" s="211"/>
      <c r="T297" s="208"/>
      <c r="U297" s="208"/>
      <c r="V297" s="208"/>
      <c r="W297" s="208"/>
      <c r="X297" s="208"/>
      <c r="Y297" s="208"/>
      <c r="Z297" s="208"/>
    </row>
    <row r="298" spans="2:26" s="192" customFormat="1" ht="12">
      <c r="B298" s="208"/>
      <c r="C298" s="208"/>
      <c r="D298" s="208"/>
      <c r="E298" s="208"/>
      <c r="F298" s="208"/>
      <c r="G298" s="208"/>
      <c r="H298" s="208"/>
      <c r="I298" s="209"/>
      <c r="J298" s="209"/>
      <c r="K298" s="209"/>
      <c r="L298" s="209"/>
      <c r="M298" s="209"/>
      <c r="N298" s="209"/>
      <c r="O298" s="208"/>
      <c r="P298" s="208"/>
      <c r="Q298" s="208"/>
      <c r="R298" s="208"/>
      <c r="S298" s="211"/>
      <c r="T298" s="208"/>
      <c r="U298" s="208"/>
      <c r="V298" s="208"/>
      <c r="W298" s="208"/>
      <c r="X298" s="208"/>
      <c r="Y298" s="208"/>
      <c r="Z298" s="208"/>
    </row>
    <row r="299" spans="2:26" s="192" customFormat="1" ht="12">
      <c r="B299" s="208"/>
      <c r="C299" s="208"/>
      <c r="D299" s="208"/>
      <c r="E299" s="208"/>
      <c r="F299" s="208"/>
      <c r="G299" s="208"/>
      <c r="H299" s="208"/>
      <c r="I299" s="209"/>
      <c r="J299" s="209"/>
      <c r="K299" s="209"/>
      <c r="L299" s="209"/>
      <c r="M299" s="209"/>
      <c r="N299" s="209"/>
      <c r="O299" s="208"/>
      <c r="P299" s="208"/>
      <c r="Q299" s="208"/>
      <c r="R299" s="208"/>
      <c r="S299" s="211"/>
      <c r="T299" s="208"/>
      <c r="U299" s="208"/>
      <c r="V299" s="208"/>
      <c r="W299" s="208"/>
      <c r="X299" s="208"/>
      <c r="Y299" s="208"/>
      <c r="Z299" s="208"/>
    </row>
    <row r="300" spans="2:26" s="192" customFormat="1" ht="12">
      <c r="B300" s="208"/>
      <c r="C300" s="208"/>
      <c r="D300" s="208"/>
      <c r="E300" s="208"/>
      <c r="F300" s="208"/>
      <c r="G300" s="208"/>
      <c r="H300" s="208"/>
      <c r="I300" s="209"/>
      <c r="J300" s="209"/>
      <c r="K300" s="209"/>
      <c r="L300" s="209"/>
      <c r="M300" s="209"/>
      <c r="N300" s="209"/>
      <c r="O300" s="208"/>
      <c r="P300" s="208"/>
      <c r="Q300" s="208"/>
      <c r="R300" s="208"/>
      <c r="S300" s="211"/>
      <c r="T300" s="208"/>
      <c r="U300" s="208"/>
      <c r="V300" s="208"/>
      <c r="W300" s="208"/>
      <c r="X300" s="208"/>
      <c r="Y300" s="208"/>
      <c r="Z300" s="208"/>
    </row>
    <row r="301" spans="2:26" s="192" customFormat="1" ht="12">
      <c r="B301" s="208"/>
      <c r="C301" s="208"/>
      <c r="D301" s="208"/>
      <c r="E301" s="208"/>
      <c r="F301" s="208"/>
      <c r="G301" s="208"/>
      <c r="H301" s="208"/>
      <c r="I301" s="209"/>
      <c r="J301" s="209"/>
      <c r="K301" s="209"/>
      <c r="L301" s="209"/>
      <c r="M301" s="209"/>
      <c r="N301" s="209"/>
      <c r="O301" s="208"/>
      <c r="P301" s="208"/>
      <c r="Q301" s="208"/>
      <c r="R301" s="208"/>
      <c r="S301" s="211"/>
      <c r="T301" s="208"/>
      <c r="U301" s="208"/>
      <c r="V301" s="208"/>
      <c r="W301" s="208"/>
      <c r="X301" s="208"/>
      <c r="Y301" s="208"/>
      <c r="Z301" s="208"/>
    </row>
    <row r="302" spans="2:26" s="192" customFormat="1" ht="12">
      <c r="B302" s="208"/>
      <c r="C302" s="208"/>
      <c r="D302" s="208"/>
      <c r="E302" s="208"/>
      <c r="F302" s="208"/>
      <c r="G302" s="208"/>
      <c r="H302" s="208"/>
      <c r="I302" s="209"/>
      <c r="J302" s="209"/>
      <c r="K302" s="209"/>
      <c r="L302" s="209"/>
      <c r="M302" s="209"/>
      <c r="N302" s="209"/>
      <c r="O302" s="208"/>
      <c r="P302" s="208"/>
      <c r="Q302" s="208"/>
      <c r="R302" s="208"/>
      <c r="S302" s="211"/>
      <c r="T302" s="208"/>
      <c r="U302" s="208"/>
      <c r="V302" s="208"/>
      <c r="W302" s="208"/>
      <c r="X302" s="208"/>
      <c r="Y302" s="208"/>
      <c r="Z302" s="208"/>
    </row>
    <row r="303" spans="2:26" s="192" customFormat="1" ht="12">
      <c r="B303" s="208"/>
      <c r="C303" s="208"/>
      <c r="D303" s="208"/>
      <c r="E303" s="208"/>
      <c r="F303" s="208"/>
      <c r="G303" s="208"/>
      <c r="H303" s="208"/>
      <c r="I303" s="209"/>
      <c r="J303" s="209"/>
      <c r="K303" s="209"/>
      <c r="L303" s="209"/>
      <c r="M303" s="209"/>
      <c r="N303" s="209"/>
      <c r="O303" s="208"/>
      <c r="P303" s="208"/>
      <c r="Q303" s="208"/>
      <c r="R303" s="208"/>
      <c r="S303" s="211"/>
      <c r="T303" s="208"/>
      <c r="U303" s="208"/>
      <c r="V303" s="208"/>
      <c r="W303" s="208"/>
      <c r="X303" s="208"/>
      <c r="Y303" s="208"/>
      <c r="Z303" s="208"/>
    </row>
    <row r="304" spans="2:26" s="192" customFormat="1" ht="12">
      <c r="B304" s="208"/>
      <c r="C304" s="208"/>
      <c r="D304" s="208"/>
      <c r="E304" s="208"/>
      <c r="F304" s="208"/>
      <c r="G304" s="208"/>
      <c r="H304" s="208"/>
      <c r="I304" s="209"/>
      <c r="J304" s="209"/>
      <c r="K304" s="209"/>
      <c r="L304" s="209"/>
      <c r="M304" s="209"/>
      <c r="N304" s="209"/>
      <c r="O304" s="208"/>
      <c r="P304" s="208"/>
      <c r="Q304" s="208"/>
      <c r="R304" s="208"/>
      <c r="S304" s="211"/>
      <c r="T304" s="208"/>
      <c r="U304" s="208"/>
      <c r="V304" s="208"/>
      <c r="W304" s="208"/>
      <c r="X304" s="208"/>
      <c r="Y304" s="208"/>
      <c r="Z304" s="208"/>
    </row>
    <row r="305" spans="2:26" s="192" customFormat="1" ht="12">
      <c r="B305" s="208"/>
      <c r="C305" s="208"/>
      <c r="D305" s="208"/>
      <c r="E305" s="208"/>
      <c r="F305" s="208"/>
      <c r="G305" s="208"/>
      <c r="H305" s="208"/>
      <c r="I305" s="209"/>
      <c r="J305" s="209"/>
      <c r="K305" s="209"/>
      <c r="L305" s="209"/>
      <c r="M305" s="209"/>
      <c r="N305" s="209"/>
      <c r="O305" s="208"/>
      <c r="P305" s="208"/>
      <c r="Q305" s="208"/>
      <c r="R305" s="208"/>
      <c r="S305" s="211"/>
      <c r="T305" s="208"/>
      <c r="U305" s="208"/>
      <c r="V305" s="208"/>
      <c r="W305" s="208"/>
      <c r="X305" s="208"/>
      <c r="Y305" s="208"/>
      <c r="Z305" s="208"/>
    </row>
    <row r="306" spans="2:26" s="192" customFormat="1" ht="12">
      <c r="B306" s="208"/>
      <c r="C306" s="208"/>
      <c r="D306" s="208"/>
      <c r="E306" s="208"/>
      <c r="F306" s="208"/>
      <c r="G306" s="208"/>
      <c r="H306" s="208"/>
      <c r="I306" s="209"/>
      <c r="J306" s="209"/>
      <c r="K306" s="209"/>
      <c r="L306" s="209"/>
      <c r="M306" s="209"/>
      <c r="N306" s="209"/>
      <c r="O306" s="208"/>
      <c r="P306" s="208"/>
      <c r="Q306" s="208"/>
      <c r="R306" s="208"/>
      <c r="S306" s="211"/>
      <c r="T306" s="208"/>
      <c r="U306" s="208"/>
      <c r="V306" s="208"/>
      <c r="W306" s="208"/>
      <c r="X306" s="208"/>
      <c r="Y306" s="208"/>
      <c r="Z306" s="208"/>
    </row>
    <row r="307" spans="2:26" s="192" customFormat="1" ht="12">
      <c r="B307" s="208"/>
      <c r="C307" s="208"/>
      <c r="D307" s="208"/>
      <c r="E307" s="208"/>
      <c r="F307" s="208"/>
      <c r="G307" s="208"/>
      <c r="H307" s="208"/>
      <c r="I307" s="209"/>
      <c r="J307" s="209"/>
      <c r="K307" s="209"/>
      <c r="L307" s="209"/>
      <c r="M307" s="209"/>
      <c r="N307" s="209"/>
      <c r="O307" s="208"/>
      <c r="P307" s="208"/>
      <c r="Q307" s="208"/>
      <c r="R307" s="208"/>
      <c r="S307" s="211"/>
      <c r="T307" s="208"/>
      <c r="U307" s="208"/>
      <c r="V307" s="208"/>
      <c r="W307" s="208"/>
      <c r="X307" s="208"/>
      <c r="Y307" s="208"/>
      <c r="Z307" s="208"/>
    </row>
    <row r="308" spans="2:26" s="192" customFormat="1" ht="12">
      <c r="B308" s="208"/>
      <c r="C308" s="208"/>
      <c r="D308" s="208"/>
      <c r="E308" s="208"/>
      <c r="F308" s="208"/>
      <c r="G308" s="208"/>
      <c r="H308" s="208"/>
      <c r="I308" s="209"/>
      <c r="J308" s="209"/>
      <c r="K308" s="209"/>
      <c r="L308" s="209"/>
      <c r="M308" s="209"/>
      <c r="N308" s="209"/>
      <c r="O308" s="208"/>
      <c r="P308" s="208"/>
      <c r="Q308" s="208"/>
      <c r="R308" s="208"/>
      <c r="S308" s="211"/>
      <c r="T308" s="208"/>
      <c r="U308" s="208"/>
      <c r="V308" s="208"/>
      <c r="W308" s="208"/>
      <c r="X308" s="208"/>
      <c r="Y308" s="208"/>
      <c r="Z308" s="208"/>
    </row>
    <row r="309" spans="2:26" s="192" customFormat="1" ht="12">
      <c r="B309" s="208"/>
      <c r="C309" s="208"/>
      <c r="D309" s="208"/>
      <c r="E309" s="208"/>
      <c r="F309" s="208"/>
      <c r="G309" s="208"/>
      <c r="H309" s="208"/>
      <c r="I309" s="209"/>
      <c r="J309" s="209"/>
      <c r="K309" s="209"/>
      <c r="L309" s="209"/>
      <c r="M309" s="209"/>
      <c r="N309" s="209"/>
      <c r="O309" s="208"/>
      <c r="P309" s="208"/>
      <c r="Q309" s="208"/>
      <c r="R309" s="208"/>
      <c r="S309" s="211"/>
      <c r="T309" s="208"/>
      <c r="U309" s="208"/>
      <c r="V309" s="208"/>
      <c r="W309" s="208"/>
      <c r="X309" s="208"/>
      <c r="Y309" s="208"/>
      <c r="Z309" s="208"/>
    </row>
    <row r="310" spans="2:26" s="192" customFormat="1" ht="12">
      <c r="B310" s="208"/>
      <c r="C310" s="208"/>
      <c r="D310" s="208"/>
      <c r="E310" s="208"/>
      <c r="F310" s="208"/>
      <c r="G310" s="208"/>
      <c r="H310" s="208"/>
      <c r="I310" s="209"/>
      <c r="J310" s="209"/>
      <c r="K310" s="209"/>
      <c r="L310" s="209"/>
      <c r="M310" s="209"/>
      <c r="N310" s="209"/>
      <c r="O310" s="208"/>
      <c r="P310" s="208"/>
      <c r="Q310" s="208"/>
      <c r="R310" s="208"/>
      <c r="S310" s="211"/>
      <c r="T310" s="208"/>
      <c r="U310" s="208"/>
      <c r="V310" s="208"/>
      <c r="W310" s="208"/>
      <c r="X310" s="208"/>
      <c r="Y310" s="208"/>
      <c r="Z310" s="208"/>
    </row>
    <row r="311" spans="2:26" s="192" customFormat="1" ht="12">
      <c r="B311" s="208"/>
      <c r="C311" s="208"/>
      <c r="D311" s="208"/>
      <c r="E311" s="208"/>
      <c r="F311" s="208"/>
      <c r="G311" s="208"/>
      <c r="H311" s="208"/>
      <c r="I311" s="209"/>
      <c r="J311" s="209"/>
      <c r="K311" s="209"/>
      <c r="L311" s="209"/>
      <c r="M311" s="209"/>
      <c r="N311" s="209"/>
      <c r="O311" s="208"/>
      <c r="P311" s="208"/>
      <c r="Q311" s="208"/>
      <c r="R311" s="208"/>
      <c r="S311" s="211"/>
      <c r="T311" s="208"/>
      <c r="U311" s="208"/>
      <c r="V311" s="208"/>
      <c r="W311" s="208"/>
      <c r="X311" s="208"/>
      <c r="Y311" s="208"/>
      <c r="Z311" s="208"/>
    </row>
    <row r="312" spans="2:26" s="192" customFormat="1" ht="12">
      <c r="B312" s="208"/>
      <c r="C312" s="208"/>
      <c r="D312" s="208"/>
      <c r="E312" s="208"/>
      <c r="F312" s="208"/>
      <c r="G312" s="208"/>
      <c r="H312" s="208"/>
      <c r="I312" s="209"/>
      <c r="J312" s="209"/>
      <c r="K312" s="209"/>
      <c r="L312" s="209"/>
      <c r="M312" s="209"/>
      <c r="N312" s="209"/>
      <c r="O312" s="208"/>
      <c r="P312" s="208"/>
      <c r="Q312" s="208"/>
      <c r="R312" s="208"/>
      <c r="S312" s="211"/>
      <c r="T312" s="208"/>
      <c r="U312" s="208"/>
      <c r="V312" s="208"/>
      <c r="W312" s="208"/>
      <c r="X312" s="208"/>
      <c r="Y312" s="208"/>
      <c r="Z312" s="208"/>
    </row>
    <row r="313" spans="2:26" s="192" customFormat="1" ht="12">
      <c r="B313" s="208"/>
      <c r="C313" s="208"/>
      <c r="D313" s="208"/>
      <c r="E313" s="208"/>
      <c r="F313" s="208"/>
      <c r="G313" s="208"/>
      <c r="H313" s="208"/>
      <c r="I313" s="209"/>
      <c r="J313" s="209"/>
      <c r="K313" s="209"/>
      <c r="L313" s="209"/>
      <c r="M313" s="209"/>
      <c r="N313" s="209"/>
      <c r="O313" s="208"/>
      <c r="P313" s="208"/>
      <c r="Q313" s="208"/>
      <c r="R313" s="208"/>
      <c r="S313" s="211"/>
      <c r="T313" s="208"/>
      <c r="U313" s="208"/>
      <c r="V313" s="208"/>
      <c r="W313" s="208"/>
      <c r="X313" s="208"/>
      <c r="Y313" s="208"/>
      <c r="Z313" s="208"/>
    </row>
    <row r="314" spans="2:26" s="192" customFormat="1" ht="12">
      <c r="B314" s="208"/>
      <c r="C314" s="208"/>
      <c r="D314" s="208"/>
      <c r="E314" s="208"/>
      <c r="F314" s="208"/>
      <c r="G314" s="208"/>
      <c r="H314" s="208"/>
      <c r="I314" s="209"/>
      <c r="J314" s="209"/>
      <c r="K314" s="209"/>
      <c r="L314" s="209"/>
      <c r="M314" s="209"/>
      <c r="N314" s="209"/>
      <c r="O314" s="208"/>
      <c r="P314" s="208"/>
      <c r="Q314" s="208"/>
      <c r="R314" s="208"/>
      <c r="S314" s="211"/>
      <c r="T314" s="208"/>
      <c r="U314" s="208"/>
      <c r="V314" s="208"/>
      <c r="W314" s="208"/>
      <c r="X314" s="208"/>
      <c r="Y314" s="208"/>
      <c r="Z314" s="208"/>
    </row>
    <row r="315" spans="2:26" s="192" customFormat="1" ht="12">
      <c r="B315" s="208"/>
      <c r="C315" s="208"/>
      <c r="D315" s="208"/>
      <c r="E315" s="208"/>
      <c r="F315" s="208"/>
      <c r="G315" s="208"/>
      <c r="H315" s="208"/>
      <c r="I315" s="209"/>
      <c r="J315" s="209"/>
      <c r="K315" s="209"/>
      <c r="L315" s="209"/>
      <c r="M315" s="209"/>
      <c r="N315" s="209"/>
      <c r="O315" s="208"/>
      <c r="P315" s="208"/>
      <c r="Q315" s="208"/>
      <c r="R315" s="208"/>
      <c r="S315" s="211"/>
      <c r="T315" s="208"/>
      <c r="U315" s="208"/>
      <c r="V315" s="208"/>
      <c r="W315" s="208"/>
      <c r="X315" s="208"/>
      <c r="Y315" s="208"/>
      <c r="Z315" s="208"/>
    </row>
    <row r="316" spans="2:26" s="192" customFormat="1" ht="12">
      <c r="B316" s="208"/>
      <c r="C316" s="208"/>
      <c r="D316" s="208"/>
      <c r="E316" s="208"/>
      <c r="F316" s="208"/>
      <c r="G316" s="208"/>
      <c r="H316" s="208"/>
      <c r="I316" s="209"/>
      <c r="J316" s="209"/>
      <c r="K316" s="209"/>
      <c r="L316" s="209"/>
      <c r="M316" s="209"/>
      <c r="N316" s="209"/>
      <c r="O316" s="208"/>
      <c r="P316" s="208"/>
      <c r="Q316" s="208"/>
      <c r="R316" s="208"/>
      <c r="S316" s="211"/>
      <c r="T316" s="208"/>
      <c r="U316" s="208"/>
      <c r="V316" s="208"/>
      <c r="W316" s="208"/>
      <c r="X316" s="208"/>
      <c r="Y316" s="208"/>
      <c r="Z316" s="208"/>
    </row>
    <row r="317" spans="2:26" s="192" customFormat="1" ht="12">
      <c r="B317" s="208"/>
      <c r="C317" s="208"/>
      <c r="D317" s="208"/>
      <c r="E317" s="208"/>
      <c r="F317" s="208"/>
      <c r="G317" s="208"/>
      <c r="H317" s="208"/>
      <c r="I317" s="209"/>
      <c r="J317" s="209"/>
      <c r="K317" s="209"/>
      <c r="L317" s="209"/>
      <c r="M317" s="209"/>
      <c r="N317" s="209"/>
      <c r="O317" s="208"/>
      <c r="P317" s="208"/>
      <c r="Q317" s="208"/>
      <c r="R317" s="208"/>
      <c r="S317" s="211"/>
      <c r="T317" s="208"/>
      <c r="U317" s="208"/>
      <c r="V317" s="208"/>
      <c r="W317" s="208"/>
      <c r="X317" s="208"/>
      <c r="Y317" s="208"/>
      <c r="Z317" s="208"/>
    </row>
    <row r="318" spans="2:26" s="192" customFormat="1" ht="12">
      <c r="B318" s="208"/>
      <c r="C318" s="208"/>
      <c r="D318" s="208"/>
      <c r="E318" s="208"/>
      <c r="F318" s="208"/>
      <c r="G318" s="208"/>
      <c r="H318" s="208"/>
      <c r="I318" s="209"/>
      <c r="J318" s="209"/>
      <c r="K318" s="209"/>
      <c r="L318" s="209"/>
      <c r="M318" s="209"/>
      <c r="N318" s="209"/>
      <c r="O318" s="208"/>
      <c r="P318" s="208"/>
      <c r="Q318" s="208"/>
      <c r="R318" s="208"/>
      <c r="S318" s="211"/>
      <c r="T318" s="208"/>
      <c r="U318" s="208"/>
      <c r="V318" s="208"/>
      <c r="W318" s="208"/>
      <c r="X318" s="208"/>
      <c r="Y318" s="208"/>
      <c r="Z318" s="208"/>
    </row>
    <row r="319" spans="2:26" s="192" customFormat="1" ht="12">
      <c r="B319" s="208"/>
      <c r="C319" s="208"/>
      <c r="D319" s="208"/>
      <c r="E319" s="208"/>
      <c r="F319" s="208"/>
      <c r="G319" s="208"/>
      <c r="H319" s="208"/>
      <c r="I319" s="209"/>
      <c r="J319" s="209"/>
      <c r="K319" s="209"/>
      <c r="L319" s="209"/>
      <c r="M319" s="209"/>
      <c r="N319" s="209"/>
      <c r="O319" s="208"/>
      <c r="P319" s="208"/>
      <c r="Q319" s="208"/>
      <c r="R319" s="208"/>
      <c r="S319" s="211"/>
      <c r="T319" s="208"/>
      <c r="U319" s="208"/>
      <c r="V319" s="208"/>
      <c r="W319" s="208"/>
      <c r="X319" s="208"/>
      <c r="Y319" s="208"/>
      <c r="Z319" s="208"/>
    </row>
    <row r="320" spans="2:26" s="192" customFormat="1" ht="12">
      <c r="B320" s="208"/>
      <c r="C320" s="208"/>
      <c r="D320" s="208"/>
      <c r="E320" s="208"/>
      <c r="F320" s="208"/>
      <c r="G320" s="208"/>
      <c r="H320" s="208"/>
      <c r="I320" s="209"/>
      <c r="J320" s="209"/>
      <c r="K320" s="209"/>
      <c r="L320" s="209"/>
      <c r="M320" s="209"/>
      <c r="N320" s="209"/>
      <c r="O320" s="208"/>
      <c r="P320" s="208"/>
      <c r="Q320" s="208"/>
      <c r="R320" s="208"/>
      <c r="S320" s="211"/>
      <c r="T320" s="208"/>
      <c r="U320" s="208"/>
      <c r="V320" s="208"/>
      <c r="W320" s="208"/>
      <c r="X320" s="208"/>
      <c r="Y320" s="208"/>
      <c r="Z320" s="208"/>
    </row>
    <row r="321" spans="2:26" s="192" customFormat="1" ht="12">
      <c r="B321" s="208"/>
      <c r="C321" s="208"/>
      <c r="D321" s="208"/>
      <c r="E321" s="208"/>
      <c r="F321" s="208"/>
      <c r="G321" s="208"/>
      <c r="H321" s="208"/>
      <c r="I321" s="209"/>
      <c r="J321" s="209"/>
      <c r="K321" s="209"/>
      <c r="L321" s="209"/>
      <c r="M321" s="209"/>
      <c r="N321" s="209"/>
      <c r="O321" s="208"/>
      <c r="P321" s="208"/>
      <c r="Q321" s="208"/>
      <c r="R321" s="208"/>
      <c r="S321" s="211"/>
      <c r="T321" s="208"/>
      <c r="U321" s="208"/>
      <c r="V321" s="208"/>
      <c r="W321" s="208"/>
      <c r="X321" s="208"/>
      <c r="Y321" s="208"/>
      <c r="Z321" s="208"/>
    </row>
    <row r="322" spans="2:26" s="192" customFormat="1" ht="12">
      <c r="B322" s="208"/>
      <c r="C322" s="208"/>
      <c r="D322" s="208"/>
      <c r="E322" s="208"/>
      <c r="F322" s="208"/>
      <c r="G322" s="208"/>
      <c r="H322" s="208"/>
      <c r="I322" s="209"/>
      <c r="J322" s="209"/>
      <c r="K322" s="209"/>
      <c r="L322" s="209"/>
      <c r="M322" s="209"/>
      <c r="N322" s="209"/>
      <c r="O322" s="208"/>
      <c r="P322" s="208"/>
      <c r="Q322" s="208"/>
      <c r="R322" s="208"/>
      <c r="S322" s="211"/>
      <c r="T322" s="208"/>
      <c r="U322" s="208"/>
      <c r="V322" s="208"/>
      <c r="W322" s="208"/>
      <c r="X322" s="208"/>
      <c r="Y322" s="208"/>
      <c r="Z322" s="208"/>
    </row>
    <row r="323" spans="2:26" s="192" customFormat="1" ht="12">
      <c r="B323" s="208"/>
      <c r="C323" s="208"/>
      <c r="D323" s="208"/>
      <c r="E323" s="208"/>
      <c r="F323" s="208"/>
      <c r="G323" s="208"/>
      <c r="H323" s="208"/>
      <c r="I323" s="209"/>
      <c r="J323" s="209"/>
      <c r="K323" s="209"/>
      <c r="L323" s="209"/>
      <c r="M323" s="209"/>
      <c r="N323" s="209"/>
      <c r="O323" s="208"/>
      <c r="P323" s="208"/>
      <c r="Q323" s="208"/>
      <c r="R323" s="208"/>
      <c r="S323" s="211"/>
      <c r="T323" s="208"/>
      <c r="U323" s="208"/>
      <c r="V323" s="208"/>
      <c r="W323" s="208"/>
      <c r="X323" s="208"/>
      <c r="Y323" s="208"/>
      <c r="Z323" s="208"/>
    </row>
    <row r="324" spans="2:26" s="192" customFormat="1" ht="12">
      <c r="B324" s="208"/>
      <c r="C324" s="208"/>
      <c r="D324" s="208"/>
      <c r="E324" s="208"/>
      <c r="F324" s="208"/>
      <c r="G324" s="208"/>
      <c r="H324" s="208"/>
      <c r="I324" s="209"/>
      <c r="J324" s="209"/>
      <c r="K324" s="209"/>
      <c r="L324" s="209"/>
      <c r="M324" s="209"/>
      <c r="N324" s="209"/>
      <c r="O324" s="208"/>
      <c r="P324" s="208"/>
      <c r="Q324" s="208"/>
      <c r="R324" s="208"/>
      <c r="S324" s="211"/>
      <c r="T324" s="208"/>
      <c r="U324" s="208"/>
      <c r="V324" s="208"/>
      <c r="W324" s="208"/>
      <c r="X324" s="208"/>
      <c r="Y324" s="208"/>
      <c r="Z324" s="208"/>
    </row>
    <row r="325" spans="2:26" s="192" customFormat="1" ht="12">
      <c r="B325" s="208"/>
      <c r="C325" s="208"/>
      <c r="D325" s="208"/>
      <c r="E325" s="208"/>
      <c r="F325" s="208"/>
      <c r="G325" s="208"/>
      <c r="H325" s="208"/>
      <c r="I325" s="209"/>
      <c r="J325" s="209"/>
      <c r="K325" s="209"/>
      <c r="L325" s="209"/>
      <c r="M325" s="209"/>
      <c r="N325" s="209"/>
      <c r="O325" s="208"/>
      <c r="P325" s="208"/>
      <c r="Q325" s="208"/>
      <c r="R325" s="208"/>
      <c r="S325" s="211"/>
      <c r="T325" s="208"/>
      <c r="U325" s="208"/>
      <c r="V325" s="208"/>
      <c r="W325" s="208"/>
      <c r="X325" s="208"/>
      <c r="Y325" s="208"/>
      <c r="Z325" s="208"/>
    </row>
    <row r="326" spans="2:26" s="192" customFormat="1" ht="12">
      <c r="B326" s="208"/>
      <c r="C326" s="208"/>
      <c r="D326" s="208"/>
      <c r="E326" s="208"/>
      <c r="F326" s="208"/>
      <c r="G326" s="208"/>
      <c r="H326" s="208"/>
      <c r="I326" s="209"/>
      <c r="J326" s="209"/>
      <c r="K326" s="209"/>
      <c r="L326" s="209"/>
      <c r="M326" s="209"/>
      <c r="N326" s="209"/>
      <c r="O326" s="208"/>
      <c r="P326" s="208"/>
      <c r="Q326" s="208"/>
      <c r="R326" s="208"/>
      <c r="S326" s="211"/>
      <c r="T326" s="208"/>
      <c r="U326" s="208"/>
      <c r="V326" s="208"/>
      <c r="W326" s="208"/>
      <c r="X326" s="208"/>
      <c r="Y326" s="208"/>
      <c r="Z326" s="208"/>
    </row>
    <row r="327" spans="2:26" s="192" customFormat="1" ht="12">
      <c r="B327" s="208"/>
      <c r="C327" s="208"/>
      <c r="D327" s="208"/>
      <c r="E327" s="208"/>
      <c r="F327" s="208"/>
      <c r="G327" s="208"/>
      <c r="H327" s="208"/>
      <c r="I327" s="209"/>
      <c r="J327" s="209"/>
      <c r="K327" s="209"/>
      <c r="L327" s="209"/>
      <c r="M327" s="209"/>
      <c r="N327" s="209"/>
      <c r="O327" s="208"/>
      <c r="P327" s="208"/>
      <c r="Q327" s="208"/>
      <c r="R327" s="208"/>
      <c r="S327" s="211"/>
      <c r="T327" s="208"/>
      <c r="U327" s="208"/>
      <c r="V327" s="208"/>
      <c r="W327" s="208"/>
      <c r="X327" s="208"/>
      <c r="Y327" s="208"/>
      <c r="Z327" s="208"/>
    </row>
    <row r="328" spans="2:26" s="192" customFormat="1" ht="12">
      <c r="B328" s="208"/>
      <c r="C328" s="208"/>
      <c r="D328" s="208"/>
      <c r="E328" s="208"/>
      <c r="F328" s="208"/>
      <c r="G328" s="208"/>
      <c r="H328" s="208"/>
      <c r="I328" s="209"/>
      <c r="J328" s="209"/>
      <c r="K328" s="209"/>
      <c r="L328" s="209"/>
      <c r="M328" s="209"/>
      <c r="N328" s="209"/>
      <c r="O328" s="208"/>
      <c r="P328" s="208"/>
      <c r="Q328" s="208"/>
      <c r="R328" s="208"/>
      <c r="S328" s="211"/>
      <c r="T328" s="208"/>
      <c r="U328" s="208"/>
      <c r="V328" s="208"/>
      <c r="W328" s="208"/>
      <c r="X328" s="208"/>
      <c r="Y328" s="208"/>
      <c r="Z328" s="208"/>
    </row>
    <row r="329" spans="2:26" s="192" customFormat="1" ht="12">
      <c r="B329" s="208"/>
      <c r="C329" s="208"/>
      <c r="D329" s="208"/>
      <c r="E329" s="208"/>
      <c r="F329" s="208"/>
      <c r="G329" s="208"/>
      <c r="H329" s="208"/>
      <c r="I329" s="209"/>
      <c r="J329" s="209"/>
      <c r="K329" s="209"/>
      <c r="L329" s="209"/>
      <c r="M329" s="209"/>
      <c r="N329" s="209"/>
      <c r="O329" s="208"/>
      <c r="P329" s="208"/>
      <c r="Q329" s="208"/>
      <c r="R329" s="208"/>
      <c r="S329" s="211"/>
      <c r="T329" s="208"/>
      <c r="U329" s="208"/>
      <c r="V329" s="208"/>
      <c r="W329" s="208"/>
      <c r="X329" s="208"/>
      <c r="Y329" s="208"/>
      <c r="Z329" s="208"/>
    </row>
    <row r="330" spans="2:26" s="192" customFormat="1" ht="12">
      <c r="B330" s="208"/>
      <c r="C330" s="208"/>
      <c r="D330" s="208"/>
      <c r="E330" s="208"/>
      <c r="F330" s="208"/>
      <c r="G330" s="208"/>
      <c r="H330" s="208"/>
      <c r="I330" s="209"/>
      <c r="J330" s="209"/>
      <c r="K330" s="209"/>
      <c r="L330" s="209"/>
      <c r="M330" s="209"/>
      <c r="N330" s="209"/>
      <c r="O330" s="208"/>
      <c r="P330" s="208"/>
      <c r="Q330" s="208"/>
      <c r="R330" s="208"/>
      <c r="S330" s="211"/>
      <c r="T330" s="208"/>
      <c r="U330" s="208"/>
      <c r="V330" s="208"/>
      <c r="W330" s="208"/>
      <c r="X330" s="208"/>
      <c r="Y330" s="208"/>
      <c r="Z330" s="208"/>
    </row>
    <row r="331" spans="2:26" s="192" customFormat="1" ht="12">
      <c r="B331" s="208"/>
      <c r="C331" s="208"/>
      <c r="D331" s="208"/>
      <c r="E331" s="208"/>
      <c r="F331" s="208"/>
      <c r="G331" s="208"/>
      <c r="H331" s="208"/>
      <c r="I331" s="209"/>
      <c r="J331" s="209"/>
      <c r="K331" s="209"/>
      <c r="L331" s="209"/>
      <c r="M331" s="209"/>
      <c r="N331" s="209"/>
      <c r="O331" s="208"/>
      <c r="P331" s="208"/>
      <c r="Q331" s="208"/>
      <c r="R331" s="208"/>
      <c r="S331" s="211"/>
      <c r="T331" s="208"/>
      <c r="U331" s="208"/>
      <c r="V331" s="208"/>
      <c r="W331" s="208"/>
      <c r="X331" s="208"/>
      <c r="Y331" s="208"/>
      <c r="Z331" s="208"/>
    </row>
    <row r="332" spans="2:26" s="192" customFormat="1" ht="12">
      <c r="B332" s="208"/>
      <c r="C332" s="208"/>
      <c r="D332" s="208"/>
      <c r="E332" s="208"/>
      <c r="F332" s="208"/>
      <c r="G332" s="208"/>
      <c r="H332" s="208"/>
      <c r="I332" s="209"/>
      <c r="J332" s="209"/>
      <c r="K332" s="209"/>
      <c r="L332" s="209"/>
      <c r="M332" s="209"/>
      <c r="N332" s="209"/>
      <c r="O332" s="208"/>
      <c r="P332" s="208"/>
      <c r="Q332" s="208"/>
      <c r="R332" s="208"/>
      <c r="S332" s="211"/>
      <c r="T332" s="208"/>
      <c r="U332" s="208"/>
      <c r="V332" s="208"/>
      <c r="W332" s="208"/>
      <c r="X332" s="208"/>
      <c r="Y332" s="208"/>
      <c r="Z332" s="208"/>
    </row>
    <row r="333" spans="2:26" s="192" customFormat="1" ht="12">
      <c r="B333" s="208"/>
      <c r="C333" s="208"/>
      <c r="D333" s="208"/>
      <c r="E333" s="208"/>
      <c r="F333" s="208"/>
      <c r="G333" s="208"/>
      <c r="H333" s="208"/>
      <c r="I333" s="209"/>
      <c r="J333" s="209"/>
      <c r="K333" s="209"/>
      <c r="L333" s="209"/>
      <c r="M333" s="209"/>
      <c r="N333" s="209"/>
      <c r="O333" s="208"/>
      <c r="P333" s="208"/>
      <c r="Q333" s="208"/>
      <c r="R333" s="208"/>
      <c r="S333" s="211"/>
      <c r="T333" s="208"/>
      <c r="U333" s="208"/>
      <c r="V333" s="208"/>
      <c r="W333" s="208"/>
      <c r="X333" s="208"/>
      <c r="Y333" s="208"/>
      <c r="Z333" s="208"/>
    </row>
    <row r="334" spans="2:26" s="192" customFormat="1" ht="12">
      <c r="B334" s="208"/>
      <c r="C334" s="208"/>
      <c r="D334" s="208"/>
      <c r="E334" s="208"/>
      <c r="F334" s="208"/>
      <c r="G334" s="208"/>
      <c r="H334" s="208"/>
      <c r="I334" s="209"/>
      <c r="J334" s="209"/>
      <c r="K334" s="209"/>
      <c r="L334" s="209"/>
      <c r="M334" s="209"/>
      <c r="N334" s="209"/>
      <c r="O334" s="208"/>
      <c r="P334" s="208"/>
      <c r="Q334" s="208"/>
      <c r="R334" s="208"/>
      <c r="S334" s="211"/>
      <c r="T334" s="208"/>
      <c r="U334" s="208"/>
      <c r="V334" s="208"/>
      <c r="W334" s="208"/>
      <c r="X334" s="208"/>
      <c r="Y334" s="208"/>
      <c r="Z334" s="208"/>
    </row>
    <row r="335" spans="2:26" s="192" customFormat="1" ht="12">
      <c r="B335" s="208"/>
      <c r="C335" s="208"/>
      <c r="D335" s="208"/>
      <c r="E335" s="208"/>
      <c r="F335" s="208"/>
      <c r="G335" s="208"/>
      <c r="H335" s="208"/>
      <c r="I335" s="209"/>
      <c r="J335" s="209"/>
      <c r="K335" s="209"/>
      <c r="L335" s="209"/>
      <c r="M335" s="209"/>
      <c r="N335" s="209"/>
      <c r="O335" s="208"/>
      <c r="P335" s="208"/>
      <c r="Q335" s="208"/>
      <c r="R335" s="208"/>
      <c r="S335" s="211"/>
      <c r="T335" s="208"/>
      <c r="U335" s="208"/>
      <c r="V335" s="208"/>
      <c r="W335" s="208"/>
      <c r="X335" s="208"/>
      <c r="Y335" s="208"/>
      <c r="Z335" s="208"/>
    </row>
    <row r="336" spans="2:26" s="192" customFormat="1" ht="12">
      <c r="B336" s="208"/>
      <c r="C336" s="208"/>
      <c r="D336" s="208"/>
      <c r="E336" s="208"/>
      <c r="F336" s="208"/>
      <c r="G336" s="208"/>
      <c r="H336" s="208"/>
      <c r="I336" s="209"/>
      <c r="J336" s="209"/>
      <c r="K336" s="209"/>
      <c r="L336" s="209"/>
      <c r="M336" s="209"/>
      <c r="N336" s="209"/>
      <c r="O336" s="208"/>
      <c r="P336" s="208"/>
      <c r="Q336" s="208"/>
      <c r="R336" s="208"/>
      <c r="S336" s="211"/>
      <c r="T336" s="208"/>
      <c r="U336" s="208"/>
      <c r="V336" s="208"/>
      <c r="W336" s="208"/>
      <c r="X336" s="208"/>
      <c r="Y336" s="208"/>
      <c r="Z336" s="208"/>
    </row>
    <row r="337" spans="2:26" s="192" customFormat="1" ht="12">
      <c r="B337" s="208"/>
      <c r="C337" s="208"/>
      <c r="D337" s="208"/>
      <c r="E337" s="208"/>
      <c r="F337" s="208"/>
      <c r="G337" s="208"/>
      <c r="H337" s="208"/>
      <c r="I337" s="209"/>
      <c r="J337" s="209"/>
      <c r="K337" s="209"/>
      <c r="L337" s="209"/>
      <c r="M337" s="209"/>
      <c r="N337" s="209"/>
      <c r="O337" s="208"/>
      <c r="P337" s="208"/>
      <c r="Q337" s="208"/>
      <c r="R337" s="208"/>
      <c r="S337" s="211"/>
      <c r="T337" s="208"/>
      <c r="U337" s="208"/>
      <c r="V337" s="208"/>
      <c r="W337" s="208"/>
      <c r="X337" s="208"/>
      <c r="Y337" s="208"/>
      <c r="Z337" s="208"/>
    </row>
    <row r="338" spans="2:26" s="192" customFormat="1" ht="12">
      <c r="B338" s="208"/>
      <c r="C338" s="208"/>
      <c r="D338" s="208"/>
      <c r="E338" s="208"/>
      <c r="F338" s="208"/>
      <c r="G338" s="208"/>
      <c r="H338" s="208"/>
      <c r="I338" s="209"/>
      <c r="J338" s="209"/>
      <c r="K338" s="209"/>
      <c r="L338" s="209"/>
      <c r="M338" s="209"/>
      <c r="N338" s="209"/>
      <c r="O338" s="208"/>
      <c r="P338" s="208"/>
      <c r="Q338" s="208"/>
      <c r="R338" s="208"/>
      <c r="S338" s="211"/>
      <c r="T338" s="208"/>
      <c r="U338" s="208"/>
      <c r="V338" s="208"/>
      <c r="W338" s="208"/>
      <c r="X338" s="208"/>
      <c r="Y338" s="208"/>
      <c r="Z338" s="208"/>
    </row>
    <row r="339" spans="2:26" s="192" customFormat="1" ht="12">
      <c r="B339" s="208"/>
      <c r="C339" s="208"/>
      <c r="D339" s="208"/>
      <c r="E339" s="208"/>
      <c r="F339" s="208"/>
      <c r="G339" s="208"/>
      <c r="H339" s="208"/>
      <c r="I339" s="209"/>
      <c r="J339" s="209"/>
      <c r="K339" s="209"/>
      <c r="L339" s="209"/>
      <c r="M339" s="209"/>
      <c r="N339" s="209"/>
      <c r="O339" s="208"/>
      <c r="P339" s="208"/>
      <c r="Q339" s="208"/>
      <c r="R339" s="208"/>
      <c r="S339" s="211"/>
      <c r="T339" s="208"/>
      <c r="U339" s="208"/>
      <c r="V339" s="208"/>
      <c r="W339" s="208"/>
      <c r="X339" s="208"/>
      <c r="Y339" s="208"/>
      <c r="Z339" s="208"/>
    </row>
    <row r="340" spans="2:26" s="192" customFormat="1" ht="12">
      <c r="B340" s="208"/>
      <c r="C340" s="208"/>
      <c r="D340" s="208"/>
      <c r="E340" s="208"/>
      <c r="F340" s="208"/>
      <c r="G340" s="208"/>
      <c r="H340" s="208"/>
      <c r="I340" s="209"/>
      <c r="J340" s="209"/>
      <c r="K340" s="209"/>
      <c r="L340" s="209"/>
      <c r="M340" s="209"/>
      <c r="N340" s="209"/>
      <c r="O340" s="208"/>
      <c r="P340" s="208"/>
      <c r="Q340" s="208"/>
      <c r="R340" s="208"/>
      <c r="S340" s="211"/>
      <c r="T340" s="208"/>
      <c r="U340" s="208"/>
      <c r="V340" s="208"/>
      <c r="W340" s="208"/>
      <c r="X340" s="208"/>
      <c r="Y340" s="208"/>
      <c r="Z340" s="208"/>
    </row>
    <row r="341" spans="2:26" s="192" customFormat="1" ht="12">
      <c r="B341" s="208"/>
      <c r="C341" s="208"/>
      <c r="D341" s="208"/>
      <c r="E341" s="208"/>
      <c r="F341" s="208"/>
      <c r="G341" s="208"/>
      <c r="H341" s="208"/>
      <c r="I341" s="209"/>
      <c r="J341" s="209"/>
      <c r="K341" s="209"/>
      <c r="L341" s="209"/>
      <c r="M341" s="209"/>
      <c r="N341" s="209"/>
      <c r="O341" s="208"/>
      <c r="P341" s="208"/>
      <c r="Q341" s="208"/>
      <c r="R341" s="208"/>
      <c r="S341" s="211"/>
      <c r="T341" s="208"/>
      <c r="U341" s="208"/>
      <c r="V341" s="208"/>
      <c r="W341" s="208"/>
      <c r="X341" s="208"/>
      <c r="Y341" s="208"/>
      <c r="Z341" s="208"/>
    </row>
    <row r="342" spans="2:26" s="192" customFormat="1" ht="12">
      <c r="B342" s="208"/>
      <c r="C342" s="208"/>
      <c r="D342" s="208"/>
      <c r="E342" s="208"/>
      <c r="F342" s="208"/>
      <c r="G342" s="208"/>
      <c r="H342" s="208"/>
      <c r="I342" s="209"/>
      <c r="J342" s="209"/>
      <c r="K342" s="209"/>
      <c r="L342" s="209"/>
      <c r="M342" s="209"/>
      <c r="N342" s="209"/>
      <c r="O342" s="208"/>
      <c r="P342" s="208"/>
      <c r="Q342" s="208"/>
      <c r="R342" s="208"/>
      <c r="S342" s="211"/>
      <c r="T342" s="208"/>
      <c r="U342" s="208"/>
      <c r="V342" s="208"/>
      <c r="W342" s="208"/>
      <c r="X342" s="208"/>
      <c r="Y342" s="208"/>
      <c r="Z342" s="208"/>
    </row>
    <row r="343" spans="2:26" s="192" customFormat="1" ht="12">
      <c r="B343" s="208"/>
      <c r="C343" s="208"/>
      <c r="D343" s="208"/>
      <c r="E343" s="208"/>
      <c r="F343" s="208"/>
      <c r="G343" s="208"/>
      <c r="H343" s="208"/>
      <c r="I343" s="209"/>
      <c r="J343" s="209"/>
      <c r="K343" s="209"/>
      <c r="L343" s="209"/>
      <c r="M343" s="209"/>
      <c r="N343" s="209"/>
      <c r="O343" s="208"/>
      <c r="P343" s="208"/>
      <c r="Q343" s="208"/>
      <c r="R343" s="208"/>
      <c r="S343" s="211"/>
      <c r="T343" s="208"/>
      <c r="U343" s="208"/>
      <c r="V343" s="208"/>
      <c r="W343" s="208"/>
      <c r="X343" s="208"/>
      <c r="Y343" s="208"/>
      <c r="Z343" s="208"/>
    </row>
    <row r="344" spans="2:26" s="192" customFormat="1" ht="12">
      <c r="B344" s="208"/>
      <c r="C344" s="208"/>
      <c r="D344" s="208"/>
      <c r="E344" s="208"/>
      <c r="F344" s="208"/>
      <c r="G344" s="208"/>
      <c r="H344" s="208"/>
      <c r="I344" s="209"/>
      <c r="J344" s="209"/>
      <c r="K344" s="209"/>
      <c r="L344" s="209"/>
      <c r="M344" s="209"/>
      <c r="N344" s="209"/>
      <c r="O344" s="208"/>
      <c r="P344" s="208"/>
      <c r="Q344" s="208"/>
      <c r="R344" s="208"/>
      <c r="S344" s="211"/>
      <c r="T344" s="208"/>
      <c r="U344" s="208"/>
      <c r="V344" s="208"/>
      <c r="W344" s="208"/>
      <c r="X344" s="208"/>
      <c r="Y344" s="208"/>
      <c r="Z344" s="208"/>
    </row>
    <row r="345" spans="2:26" s="192" customFormat="1" ht="12">
      <c r="B345" s="208"/>
      <c r="C345" s="208"/>
      <c r="D345" s="208"/>
      <c r="E345" s="208"/>
      <c r="F345" s="208"/>
      <c r="G345" s="208"/>
      <c r="H345" s="208"/>
      <c r="I345" s="209"/>
      <c r="J345" s="209"/>
      <c r="K345" s="209"/>
      <c r="L345" s="209"/>
      <c r="M345" s="209"/>
      <c r="N345" s="209"/>
      <c r="O345" s="208"/>
      <c r="P345" s="208"/>
      <c r="Q345" s="208"/>
      <c r="R345" s="208"/>
      <c r="S345" s="211"/>
      <c r="T345" s="208"/>
      <c r="U345" s="208"/>
      <c r="V345" s="208"/>
      <c r="W345" s="208"/>
      <c r="X345" s="208"/>
      <c r="Y345" s="208"/>
      <c r="Z345" s="208"/>
    </row>
    <row r="346" spans="2:26" s="192" customFormat="1" ht="12">
      <c r="B346" s="208"/>
      <c r="C346" s="208"/>
      <c r="D346" s="208"/>
      <c r="E346" s="208"/>
      <c r="F346" s="208"/>
      <c r="G346" s="208"/>
      <c r="H346" s="208"/>
      <c r="I346" s="209"/>
      <c r="J346" s="209"/>
      <c r="K346" s="209"/>
      <c r="L346" s="209"/>
      <c r="M346" s="209"/>
      <c r="N346" s="209"/>
      <c r="O346" s="208"/>
      <c r="P346" s="208"/>
      <c r="Q346" s="208"/>
      <c r="R346" s="208"/>
      <c r="S346" s="211"/>
      <c r="T346" s="208"/>
      <c r="U346" s="208"/>
      <c r="V346" s="208"/>
      <c r="W346" s="208"/>
      <c r="X346" s="208"/>
      <c r="Y346" s="208"/>
      <c r="Z346" s="208"/>
    </row>
    <row r="347" spans="2:26" s="192" customFormat="1" ht="12">
      <c r="B347" s="208"/>
      <c r="C347" s="208"/>
      <c r="D347" s="208"/>
      <c r="E347" s="208"/>
      <c r="F347" s="208"/>
      <c r="G347" s="208"/>
      <c r="H347" s="208"/>
      <c r="I347" s="209"/>
      <c r="J347" s="209"/>
      <c r="K347" s="209"/>
      <c r="L347" s="209"/>
      <c r="M347" s="209"/>
      <c r="N347" s="209"/>
      <c r="O347" s="208"/>
      <c r="P347" s="208"/>
      <c r="Q347" s="208"/>
      <c r="R347" s="208"/>
      <c r="S347" s="211"/>
      <c r="T347" s="208"/>
      <c r="U347" s="208"/>
      <c r="V347" s="208"/>
      <c r="W347" s="208"/>
      <c r="X347" s="208"/>
      <c r="Y347" s="208"/>
      <c r="Z347" s="208"/>
    </row>
    <row r="348" spans="2:26" s="192" customFormat="1" ht="12">
      <c r="B348" s="208"/>
      <c r="C348" s="208"/>
      <c r="D348" s="208"/>
      <c r="E348" s="208"/>
      <c r="F348" s="208"/>
      <c r="G348" s="208"/>
      <c r="H348" s="208"/>
      <c r="I348" s="209"/>
      <c r="J348" s="209"/>
      <c r="K348" s="209"/>
      <c r="L348" s="209"/>
      <c r="M348" s="209"/>
      <c r="N348" s="209"/>
      <c r="O348" s="208"/>
      <c r="P348" s="208"/>
      <c r="Q348" s="208"/>
      <c r="R348" s="208"/>
      <c r="S348" s="211"/>
      <c r="T348" s="208"/>
      <c r="U348" s="208"/>
      <c r="V348" s="208"/>
      <c r="W348" s="208"/>
      <c r="X348" s="208"/>
      <c r="Y348" s="208"/>
      <c r="Z348" s="208"/>
    </row>
    <row r="349" spans="2:26" s="192" customFormat="1" ht="12">
      <c r="B349" s="208"/>
      <c r="C349" s="208"/>
      <c r="D349" s="208"/>
      <c r="E349" s="208"/>
      <c r="F349" s="208"/>
      <c r="G349" s="208"/>
      <c r="H349" s="208"/>
      <c r="I349" s="209"/>
      <c r="J349" s="209"/>
      <c r="K349" s="209"/>
      <c r="L349" s="209"/>
      <c r="M349" s="209"/>
      <c r="N349" s="209"/>
      <c r="O349" s="208"/>
      <c r="P349" s="208"/>
      <c r="Q349" s="208"/>
      <c r="R349" s="208"/>
      <c r="S349" s="211"/>
      <c r="T349" s="208"/>
      <c r="U349" s="208"/>
      <c r="V349" s="208"/>
      <c r="W349" s="208"/>
      <c r="X349" s="208"/>
      <c r="Y349" s="208"/>
      <c r="Z349" s="208"/>
    </row>
    <row r="350" spans="2:26" s="192" customFormat="1" ht="12">
      <c r="B350" s="208"/>
      <c r="C350" s="208"/>
      <c r="D350" s="208"/>
      <c r="E350" s="208"/>
      <c r="F350" s="208"/>
      <c r="G350" s="208"/>
      <c r="H350" s="208"/>
      <c r="I350" s="209"/>
      <c r="J350" s="209"/>
      <c r="K350" s="209"/>
      <c r="L350" s="209"/>
      <c r="M350" s="209"/>
      <c r="N350" s="209"/>
      <c r="O350" s="208"/>
      <c r="P350" s="208"/>
      <c r="Q350" s="208"/>
      <c r="R350" s="208"/>
      <c r="S350" s="211"/>
      <c r="T350" s="208"/>
      <c r="U350" s="208"/>
      <c r="V350" s="208"/>
      <c r="W350" s="208"/>
      <c r="X350" s="208"/>
      <c r="Y350" s="208"/>
      <c r="Z350" s="208"/>
    </row>
    <row r="351" spans="2:26" s="192" customFormat="1" ht="12">
      <c r="B351" s="208"/>
      <c r="C351" s="208"/>
      <c r="D351" s="208"/>
      <c r="E351" s="208"/>
      <c r="F351" s="208"/>
      <c r="G351" s="208"/>
      <c r="H351" s="208"/>
      <c r="I351" s="209"/>
      <c r="J351" s="209"/>
      <c r="K351" s="209"/>
      <c r="L351" s="209"/>
      <c r="M351" s="209"/>
      <c r="N351" s="209"/>
      <c r="O351" s="208"/>
      <c r="P351" s="208"/>
      <c r="Q351" s="208"/>
      <c r="R351" s="208"/>
      <c r="S351" s="211"/>
      <c r="T351" s="208"/>
      <c r="U351" s="208"/>
      <c r="V351" s="208"/>
      <c r="W351" s="208"/>
      <c r="X351" s="208"/>
      <c r="Y351" s="208"/>
      <c r="Z351" s="208"/>
    </row>
    <row r="352" spans="2:26" s="192" customFormat="1" ht="12">
      <c r="B352" s="208"/>
      <c r="C352" s="208"/>
      <c r="D352" s="208"/>
      <c r="E352" s="208"/>
      <c r="F352" s="208"/>
      <c r="G352" s="208"/>
      <c r="H352" s="208"/>
      <c r="I352" s="209"/>
      <c r="J352" s="209"/>
      <c r="K352" s="209"/>
      <c r="L352" s="209"/>
      <c r="M352" s="209"/>
      <c r="N352" s="209"/>
      <c r="O352" s="208"/>
      <c r="P352" s="208"/>
      <c r="Q352" s="208"/>
      <c r="R352" s="208"/>
      <c r="S352" s="211"/>
      <c r="T352" s="208"/>
      <c r="U352" s="208"/>
      <c r="V352" s="208"/>
      <c r="W352" s="208"/>
      <c r="X352" s="208"/>
      <c r="Y352" s="208"/>
      <c r="Z352" s="208"/>
    </row>
    <row r="353" spans="2:26" s="192" customFormat="1" ht="12">
      <c r="B353" s="208"/>
      <c r="C353" s="208"/>
      <c r="D353" s="208"/>
      <c r="E353" s="208"/>
      <c r="F353" s="208"/>
      <c r="G353" s="208"/>
      <c r="H353" s="208"/>
      <c r="I353" s="209"/>
      <c r="J353" s="209"/>
      <c r="K353" s="209"/>
      <c r="L353" s="209"/>
      <c r="M353" s="209"/>
      <c r="N353" s="209"/>
      <c r="O353" s="208"/>
      <c r="P353" s="208"/>
      <c r="Q353" s="208"/>
      <c r="R353" s="208"/>
      <c r="S353" s="211"/>
      <c r="T353" s="208"/>
      <c r="U353" s="208"/>
      <c r="V353" s="208"/>
      <c r="W353" s="208"/>
      <c r="X353" s="208"/>
      <c r="Y353" s="208"/>
      <c r="Z353" s="208"/>
    </row>
    <row r="354" spans="2:26" s="192" customFormat="1" ht="12">
      <c r="B354" s="208"/>
      <c r="C354" s="208"/>
      <c r="D354" s="208"/>
      <c r="E354" s="208"/>
      <c r="F354" s="208"/>
      <c r="G354" s="208"/>
      <c r="H354" s="208"/>
      <c r="I354" s="209"/>
      <c r="J354" s="209"/>
      <c r="K354" s="209"/>
      <c r="L354" s="209"/>
      <c r="M354" s="209"/>
      <c r="N354" s="209"/>
      <c r="O354" s="208"/>
      <c r="P354" s="208"/>
      <c r="Q354" s="208"/>
      <c r="R354" s="208"/>
      <c r="S354" s="211"/>
      <c r="T354" s="208"/>
      <c r="U354" s="208"/>
      <c r="V354" s="208"/>
      <c r="W354" s="208"/>
      <c r="X354" s="208"/>
      <c r="Y354" s="208"/>
      <c r="Z354" s="208"/>
    </row>
    <row r="355" spans="2:26" s="192" customFormat="1" ht="12">
      <c r="B355" s="208"/>
      <c r="C355" s="208"/>
      <c r="D355" s="208"/>
      <c r="E355" s="208"/>
      <c r="F355" s="208"/>
      <c r="G355" s="208"/>
      <c r="H355" s="208"/>
      <c r="I355" s="209"/>
      <c r="J355" s="209"/>
      <c r="K355" s="209"/>
      <c r="L355" s="209"/>
      <c r="M355" s="209"/>
      <c r="N355" s="209"/>
      <c r="O355" s="208"/>
      <c r="P355" s="208"/>
      <c r="Q355" s="208"/>
      <c r="R355" s="208"/>
      <c r="S355" s="211"/>
      <c r="T355" s="208"/>
      <c r="U355" s="208"/>
      <c r="V355" s="208"/>
      <c r="W355" s="208"/>
      <c r="X355" s="208"/>
      <c r="Y355" s="208"/>
      <c r="Z355" s="208"/>
    </row>
    <row r="356" spans="2:26" s="192" customFormat="1" ht="12">
      <c r="B356" s="208"/>
      <c r="C356" s="208"/>
      <c r="D356" s="208"/>
      <c r="E356" s="208"/>
      <c r="F356" s="208"/>
      <c r="G356" s="208"/>
      <c r="H356" s="208"/>
      <c r="I356" s="209"/>
      <c r="J356" s="209"/>
      <c r="K356" s="209"/>
      <c r="L356" s="209"/>
      <c r="M356" s="209"/>
      <c r="N356" s="209"/>
      <c r="O356" s="208"/>
      <c r="P356" s="208"/>
      <c r="Q356" s="208"/>
      <c r="R356" s="208"/>
      <c r="S356" s="211"/>
      <c r="T356" s="208"/>
      <c r="U356" s="208"/>
      <c r="V356" s="208"/>
      <c r="W356" s="208"/>
      <c r="X356" s="208"/>
      <c r="Y356" s="208"/>
      <c r="Z356" s="208"/>
    </row>
    <row r="357" spans="2:26" s="192" customFormat="1" ht="12">
      <c r="B357" s="208"/>
      <c r="C357" s="208"/>
      <c r="D357" s="208"/>
      <c r="E357" s="208"/>
      <c r="F357" s="208"/>
      <c r="G357" s="208"/>
      <c r="H357" s="208"/>
      <c r="I357" s="209"/>
      <c r="J357" s="209"/>
      <c r="K357" s="209"/>
      <c r="L357" s="209"/>
      <c r="M357" s="209"/>
      <c r="N357" s="209"/>
      <c r="O357" s="208"/>
      <c r="P357" s="208"/>
      <c r="Q357" s="208"/>
      <c r="R357" s="208"/>
      <c r="S357" s="211"/>
      <c r="T357" s="208"/>
      <c r="U357" s="208"/>
      <c r="V357" s="208"/>
      <c r="W357" s="208"/>
      <c r="X357" s="208"/>
      <c r="Y357" s="208"/>
      <c r="Z357" s="208"/>
    </row>
    <row r="358" spans="2:26" s="192" customFormat="1" ht="12">
      <c r="B358" s="208"/>
      <c r="C358" s="208"/>
      <c r="D358" s="208"/>
      <c r="E358" s="208"/>
      <c r="F358" s="208"/>
      <c r="G358" s="208"/>
      <c r="H358" s="208"/>
      <c r="I358" s="209"/>
      <c r="J358" s="209"/>
      <c r="K358" s="209"/>
      <c r="L358" s="209"/>
      <c r="M358" s="209"/>
      <c r="N358" s="209"/>
      <c r="O358" s="208"/>
      <c r="P358" s="208"/>
      <c r="Q358" s="208"/>
      <c r="R358" s="208"/>
      <c r="S358" s="211"/>
      <c r="T358" s="208"/>
      <c r="U358" s="208"/>
      <c r="V358" s="208"/>
      <c r="W358" s="208"/>
      <c r="X358" s="208"/>
      <c r="Y358" s="208"/>
      <c r="Z358" s="208"/>
    </row>
    <row r="359" spans="2:26" s="192" customFormat="1" ht="12">
      <c r="B359" s="208"/>
      <c r="C359" s="208"/>
      <c r="D359" s="208"/>
      <c r="E359" s="208"/>
      <c r="F359" s="208"/>
      <c r="G359" s="208"/>
      <c r="H359" s="208"/>
      <c r="I359" s="209"/>
      <c r="J359" s="209"/>
      <c r="K359" s="209"/>
      <c r="L359" s="209"/>
      <c r="M359" s="209"/>
      <c r="N359" s="209"/>
      <c r="O359" s="208"/>
      <c r="P359" s="208"/>
      <c r="Q359" s="208"/>
      <c r="R359" s="208"/>
      <c r="S359" s="211"/>
      <c r="T359" s="208"/>
      <c r="U359" s="208"/>
      <c r="V359" s="208"/>
      <c r="W359" s="208"/>
      <c r="X359" s="208"/>
      <c r="Y359" s="208"/>
      <c r="Z359" s="208"/>
    </row>
    <row r="360" spans="2:26" s="192" customFormat="1" ht="12">
      <c r="B360" s="208"/>
      <c r="C360" s="208"/>
      <c r="D360" s="208"/>
      <c r="E360" s="208"/>
      <c r="F360" s="208"/>
      <c r="G360" s="208"/>
      <c r="H360" s="208"/>
      <c r="I360" s="209"/>
      <c r="J360" s="209"/>
      <c r="K360" s="209"/>
      <c r="L360" s="209"/>
      <c r="M360" s="209"/>
      <c r="N360" s="209"/>
      <c r="O360" s="208"/>
      <c r="P360" s="208"/>
      <c r="Q360" s="208"/>
      <c r="R360" s="208"/>
      <c r="S360" s="211"/>
      <c r="T360" s="208"/>
      <c r="U360" s="208"/>
      <c r="V360" s="208"/>
      <c r="W360" s="208"/>
      <c r="X360" s="208"/>
      <c r="Y360" s="208"/>
      <c r="Z360" s="208"/>
    </row>
    <row r="361" spans="2:26" s="192" customFormat="1" ht="12">
      <c r="B361" s="208"/>
      <c r="C361" s="208"/>
      <c r="D361" s="208"/>
      <c r="E361" s="208"/>
      <c r="F361" s="208"/>
      <c r="G361" s="208"/>
      <c r="H361" s="208"/>
      <c r="I361" s="209"/>
      <c r="J361" s="209"/>
      <c r="K361" s="209"/>
      <c r="L361" s="209"/>
      <c r="M361" s="209"/>
      <c r="N361" s="209"/>
      <c r="O361" s="208"/>
      <c r="P361" s="208"/>
      <c r="Q361" s="208"/>
      <c r="R361" s="208"/>
      <c r="S361" s="211"/>
      <c r="T361" s="208"/>
      <c r="U361" s="208"/>
      <c r="V361" s="208"/>
      <c r="W361" s="208"/>
      <c r="X361" s="208"/>
      <c r="Y361" s="208"/>
      <c r="Z361" s="208"/>
    </row>
    <row r="362" spans="2:26" s="192" customFormat="1" ht="12">
      <c r="B362" s="208"/>
      <c r="C362" s="208"/>
      <c r="D362" s="208"/>
      <c r="E362" s="208"/>
      <c r="F362" s="208"/>
      <c r="G362" s="208"/>
      <c r="H362" s="208"/>
      <c r="I362" s="209"/>
      <c r="J362" s="209"/>
      <c r="K362" s="209"/>
      <c r="L362" s="209"/>
      <c r="M362" s="209"/>
      <c r="N362" s="209"/>
      <c r="O362" s="208"/>
      <c r="P362" s="208"/>
      <c r="Q362" s="208"/>
      <c r="R362" s="208"/>
      <c r="S362" s="211"/>
      <c r="T362" s="208"/>
      <c r="U362" s="208"/>
      <c r="V362" s="208"/>
      <c r="W362" s="208"/>
      <c r="X362" s="208"/>
      <c r="Y362" s="208"/>
      <c r="Z362" s="208"/>
    </row>
    <row r="363" spans="2:26" s="192" customFormat="1" ht="12">
      <c r="B363" s="208"/>
      <c r="C363" s="208"/>
      <c r="D363" s="208"/>
      <c r="E363" s="208"/>
      <c r="F363" s="208"/>
      <c r="G363" s="208"/>
      <c r="H363" s="208"/>
      <c r="I363" s="209"/>
      <c r="J363" s="209"/>
      <c r="K363" s="209"/>
      <c r="L363" s="209"/>
      <c r="M363" s="209"/>
      <c r="N363" s="209"/>
      <c r="O363" s="208"/>
      <c r="P363" s="208"/>
      <c r="Q363" s="208"/>
      <c r="R363" s="208"/>
      <c r="S363" s="211"/>
      <c r="T363" s="208"/>
      <c r="U363" s="208"/>
      <c r="V363" s="208"/>
      <c r="W363" s="208"/>
      <c r="X363" s="208"/>
      <c r="Y363" s="208"/>
      <c r="Z363" s="208"/>
    </row>
    <row r="364" spans="2:26" s="192" customFormat="1" ht="12">
      <c r="B364" s="208"/>
      <c r="C364" s="208"/>
      <c r="D364" s="208"/>
      <c r="E364" s="208"/>
      <c r="F364" s="208"/>
      <c r="G364" s="208"/>
      <c r="H364" s="208"/>
      <c r="I364" s="209"/>
      <c r="J364" s="209"/>
      <c r="K364" s="209"/>
      <c r="L364" s="209"/>
      <c r="M364" s="209"/>
      <c r="N364" s="209"/>
      <c r="O364" s="208"/>
      <c r="P364" s="208"/>
      <c r="Q364" s="208"/>
      <c r="R364" s="208"/>
      <c r="S364" s="211"/>
      <c r="T364" s="208"/>
      <c r="U364" s="208"/>
      <c r="V364" s="208"/>
      <c r="W364" s="208"/>
      <c r="X364" s="208"/>
      <c r="Y364" s="208"/>
      <c r="Z364" s="208"/>
    </row>
    <row r="365" spans="2:26" s="192" customFormat="1" ht="12">
      <c r="B365" s="208"/>
      <c r="C365" s="208"/>
      <c r="D365" s="208"/>
      <c r="E365" s="208"/>
      <c r="F365" s="208"/>
      <c r="G365" s="208"/>
      <c r="H365" s="208"/>
      <c r="I365" s="209"/>
      <c r="J365" s="209"/>
      <c r="K365" s="209"/>
      <c r="L365" s="209"/>
      <c r="M365" s="209"/>
      <c r="N365" s="209"/>
      <c r="O365" s="208"/>
      <c r="P365" s="208"/>
      <c r="Q365" s="208"/>
      <c r="R365" s="208"/>
      <c r="S365" s="211"/>
      <c r="T365" s="208"/>
      <c r="U365" s="208"/>
      <c r="V365" s="208"/>
      <c r="W365" s="208"/>
      <c r="X365" s="208"/>
      <c r="Y365" s="208"/>
      <c r="Z365" s="208"/>
    </row>
    <row r="366" spans="2:26" s="192" customFormat="1" ht="12">
      <c r="B366" s="208"/>
      <c r="C366" s="208"/>
      <c r="D366" s="208"/>
      <c r="E366" s="208"/>
      <c r="F366" s="208"/>
      <c r="G366" s="208"/>
      <c r="H366" s="208"/>
      <c r="I366" s="209"/>
      <c r="J366" s="209"/>
      <c r="K366" s="209"/>
      <c r="L366" s="209"/>
      <c r="M366" s="209"/>
      <c r="N366" s="209"/>
      <c r="O366" s="208"/>
      <c r="P366" s="208"/>
      <c r="Q366" s="208"/>
      <c r="R366" s="208"/>
      <c r="S366" s="211"/>
      <c r="T366" s="208"/>
      <c r="U366" s="208"/>
      <c r="V366" s="208"/>
      <c r="W366" s="208"/>
      <c r="X366" s="208"/>
      <c r="Y366" s="208"/>
      <c r="Z366" s="208"/>
    </row>
    <row r="367" spans="2:26" s="192" customFormat="1" ht="12">
      <c r="B367" s="208"/>
      <c r="C367" s="208"/>
      <c r="D367" s="208"/>
      <c r="E367" s="208"/>
      <c r="F367" s="208"/>
      <c r="G367" s="208"/>
      <c r="H367" s="208"/>
      <c r="I367" s="209"/>
      <c r="J367" s="209"/>
      <c r="K367" s="209"/>
      <c r="L367" s="209"/>
      <c r="M367" s="209"/>
      <c r="N367" s="209"/>
      <c r="O367" s="208"/>
      <c r="P367" s="208"/>
      <c r="Q367" s="208"/>
      <c r="R367" s="208"/>
      <c r="S367" s="211"/>
      <c r="T367" s="208"/>
      <c r="U367" s="208"/>
      <c r="V367" s="208"/>
      <c r="W367" s="208"/>
      <c r="X367" s="208"/>
      <c r="Y367" s="208"/>
      <c r="Z367" s="208"/>
    </row>
    <row r="368" spans="2:26" s="192" customFormat="1" ht="12">
      <c r="B368" s="208"/>
      <c r="C368" s="208"/>
      <c r="D368" s="208"/>
      <c r="E368" s="208"/>
      <c r="F368" s="208"/>
      <c r="G368" s="208"/>
      <c r="H368" s="208"/>
      <c r="I368" s="209"/>
      <c r="J368" s="209"/>
      <c r="K368" s="209"/>
      <c r="L368" s="209"/>
      <c r="M368" s="209"/>
      <c r="N368" s="209"/>
      <c r="O368" s="208"/>
      <c r="P368" s="208"/>
      <c r="Q368" s="208"/>
      <c r="R368" s="208"/>
      <c r="S368" s="211"/>
      <c r="T368" s="208"/>
      <c r="U368" s="208"/>
      <c r="V368" s="208"/>
      <c r="W368" s="208"/>
      <c r="X368" s="208"/>
      <c r="Y368" s="208"/>
      <c r="Z368" s="208"/>
    </row>
    <row r="369" spans="2:26" s="192" customFormat="1" ht="12">
      <c r="B369" s="208"/>
      <c r="C369" s="208"/>
      <c r="D369" s="208"/>
      <c r="E369" s="208"/>
      <c r="F369" s="208"/>
      <c r="G369" s="208"/>
      <c r="H369" s="208"/>
      <c r="I369" s="209"/>
      <c r="J369" s="209"/>
      <c r="K369" s="209"/>
      <c r="L369" s="209"/>
      <c r="M369" s="209"/>
      <c r="N369" s="209"/>
      <c r="O369" s="208"/>
      <c r="P369" s="208"/>
      <c r="Q369" s="208"/>
      <c r="R369" s="208"/>
      <c r="S369" s="211"/>
      <c r="T369" s="208"/>
      <c r="U369" s="208"/>
      <c r="V369" s="208"/>
      <c r="W369" s="208"/>
      <c r="X369" s="208"/>
      <c r="Y369" s="208"/>
      <c r="Z369" s="208"/>
    </row>
    <row r="370" spans="2:26" s="192" customFormat="1" ht="12">
      <c r="B370" s="208"/>
      <c r="C370" s="208"/>
      <c r="D370" s="208"/>
      <c r="E370" s="208"/>
      <c r="F370" s="208"/>
      <c r="G370" s="208"/>
      <c r="H370" s="208"/>
      <c r="I370" s="209"/>
      <c r="J370" s="209"/>
      <c r="K370" s="209"/>
      <c r="L370" s="209"/>
      <c r="M370" s="209"/>
      <c r="N370" s="209"/>
      <c r="O370" s="208"/>
      <c r="P370" s="208"/>
      <c r="Q370" s="208"/>
      <c r="R370" s="208"/>
      <c r="S370" s="211"/>
      <c r="T370" s="208"/>
      <c r="U370" s="208"/>
      <c r="V370" s="208"/>
      <c r="W370" s="208"/>
      <c r="X370" s="208"/>
      <c r="Y370" s="208"/>
      <c r="Z370" s="208"/>
    </row>
    <row r="371" spans="2:26" s="192" customFormat="1" ht="12">
      <c r="B371" s="208"/>
      <c r="C371" s="208"/>
      <c r="D371" s="208"/>
      <c r="E371" s="208"/>
      <c r="F371" s="208"/>
      <c r="G371" s="208"/>
      <c r="H371" s="208"/>
      <c r="I371" s="209"/>
      <c r="J371" s="209"/>
      <c r="K371" s="209"/>
      <c r="L371" s="209"/>
      <c r="M371" s="209"/>
      <c r="N371" s="209"/>
      <c r="O371" s="208"/>
      <c r="P371" s="208"/>
      <c r="Q371" s="208"/>
      <c r="R371" s="208"/>
      <c r="S371" s="211"/>
      <c r="T371" s="208"/>
      <c r="U371" s="208"/>
      <c r="V371" s="208"/>
      <c r="W371" s="208"/>
      <c r="X371" s="208"/>
      <c r="Y371" s="208"/>
      <c r="Z371" s="208"/>
    </row>
    <row r="372" spans="2:26" s="192" customFormat="1" ht="12">
      <c r="B372" s="208"/>
      <c r="C372" s="208"/>
      <c r="D372" s="208"/>
      <c r="E372" s="208"/>
      <c r="F372" s="208"/>
      <c r="G372" s="208"/>
      <c r="H372" s="208"/>
      <c r="I372" s="209"/>
      <c r="J372" s="209"/>
      <c r="K372" s="209"/>
      <c r="L372" s="209"/>
      <c r="M372" s="209"/>
      <c r="N372" s="209"/>
      <c r="O372" s="208"/>
      <c r="P372" s="208"/>
      <c r="Q372" s="208"/>
      <c r="R372" s="208"/>
      <c r="S372" s="211"/>
      <c r="T372" s="208"/>
      <c r="U372" s="208"/>
      <c r="V372" s="208"/>
      <c r="W372" s="208"/>
      <c r="X372" s="208"/>
      <c r="Y372" s="208"/>
      <c r="Z372" s="208"/>
    </row>
    <row r="373" spans="2:26" s="192" customFormat="1" ht="12">
      <c r="B373" s="208"/>
      <c r="C373" s="208"/>
      <c r="D373" s="208"/>
      <c r="E373" s="208"/>
      <c r="F373" s="208"/>
      <c r="G373" s="208"/>
      <c r="H373" s="208"/>
      <c r="I373" s="209"/>
      <c r="J373" s="209"/>
      <c r="K373" s="209"/>
      <c r="L373" s="209"/>
      <c r="M373" s="209"/>
      <c r="N373" s="209"/>
      <c r="O373" s="208"/>
      <c r="P373" s="208"/>
      <c r="Q373" s="208"/>
      <c r="R373" s="208"/>
      <c r="S373" s="211"/>
      <c r="T373" s="208"/>
      <c r="U373" s="208"/>
      <c r="V373" s="208"/>
      <c r="W373" s="208"/>
      <c r="X373" s="208"/>
      <c r="Y373" s="208"/>
      <c r="Z373" s="208"/>
    </row>
    <row r="374" spans="2:26" s="192" customFormat="1" ht="12">
      <c r="B374" s="208"/>
      <c r="C374" s="208"/>
      <c r="D374" s="208"/>
      <c r="E374" s="208"/>
      <c r="F374" s="208"/>
      <c r="G374" s="208"/>
      <c r="H374" s="208"/>
      <c r="I374" s="209"/>
      <c r="J374" s="209"/>
      <c r="K374" s="209"/>
      <c r="L374" s="209"/>
      <c r="M374" s="209"/>
      <c r="N374" s="209"/>
      <c r="O374" s="208"/>
      <c r="P374" s="208"/>
      <c r="Q374" s="208"/>
      <c r="R374" s="208"/>
      <c r="S374" s="211"/>
      <c r="T374" s="208"/>
      <c r="U374" s="208"/>
      <c r="V374" s="208"/>
      <c r="W374" s="208"/>
      <c r="X374" s="208"/>
      <c r="Y374" s="208"/>
      <c r="Z374" s="208"/>
    </row>
    <row r="375" spans="2:26" s="192" customFormat="1" ht="12">
      <c r="B375" s="208"/>
      <c r="C375" s="208"/>
      <c r="D375" s="208"/>
      <c r="E375" s="208"/>
      <c r="F375" s="208"/>
      <c r="G375" s="208"/>
      <c r="H375" s="208"/>
      <c r="I375" s="209"/>
      <c r="J375" s="209"/>
      <c r="K375" s="209"/>
      <c r="L375" s="209"/>
      <c r="M375" s="209"/>
      <c r="N375" s="209"/>
      <c r="O375" s="208"/>
      <c r="P375" s="208"/>
      <c r="Q375" s="208"/>
      <c r="R375" s="208"/>
      <c r="S375" s="211"/>
      <c r="T375" s="208"/>
      <c r="U375" s="208"/>
      <c r="V375" s="208"/>
      <c r="W375" s="208"/>
      <c r="X375" s="208"/>
      <c r="Y375" s="208"/>
      <c r="Z375" s="208"/>
    </row>
    <row r="376" spans="2:26" s="192" customFormat="1" ht="12">
      <c r="B376" s="208"/>
      <c r="C376" s="208"/>
      <c r="D376" s="208"/>
      <c r="E376" s="208"/>
      <c r="F376" s="208"/>
      <c r="G376" s="208"/>
      <c r="H376" s="208"/>
      <c r="I376" s="209"/>
      <c r="J376" s="209"/>
      <c r="K376" s="209"/>
      <c r="L376" s="209"/>
      <c r="M376" s="209"/>
      <c r="N376" s="209"/>
      <c r="O376" s="208"/>
      <c r="P376" s="208"/>
      <c r="Q376" s="208"/>
      <c r="R376" s="208"/>
      <c r="S376" s="211"/>
      <c r="T376" s="208"/>
      <c r="U376" s="208"/>
      <c r="V376" s="208"/>
      <c r="W376" s="208"/>
      <c r="X376" s="208"/>
      <c r="Y376" s="208"/>
      <c r="Z376" s="208"/>
    </row>
    <row r="377" spans="2:26" s="192" customFormat="1" ht="12">
      <c r="B377" s="208"/>
      <c r="C377" s="208"/>
      <c r="D377" s="208"/>
      <c r="E377" s="208"/>
      <c r="F377" s="208"/>
      <c r="G377" s="208"/>
      <c r="H377" s="208"/>
      <c r="I377" s="209"/>
      <c r="J377" s="209"/>
      <c r="K377" s="209"/>
      <c r="L377" s="209"/>
      <c r="M377" s="209"/>
      <c r="N377" s="209"/>
      <c r="O377" s="208"/>
      <c r="P377" s="208"/>
      <c r="Q377" s="208"/>
      <c r="R377" s="208"/>
      <c r="S377" s="211"/>
      <c r="T377" s="208"/>
      <c r="U377" s="208"/>
      <c r="V377" s="208"/>
      <c r="W377" s="208"/>
      <c r="X377" s="208"/>
      <c r="Y377" s="208"/>
      <c r="Z377" s="208"/>
    </row>
    <row r="378" spans="2:26" s="192" customFormat="1" ht="12">
      <c r="B378" s="208"/>
      <c r="C378" s="208"/>
      <c r="D378" s="208"/>
      <c r="E378" s="208"/>
      <c r="F378" s="208"/>
      <c r="G378" s="208"/>
      <c r="H378" s="208"/>
      <c r="I378" s="209"/>
      <c r="J378" s="209"/>
      <c r="K378" s="209"/>
      <c r="L378" s="209"/>
      <c r="M378" s="209"/>
      <c r="N378" s="209"/>
      <c r="O378" s="208"/>
      <c r="P378" s="208"/>
      <c r="Q378" s="208"/>
      <c r="R378" s="208"/>
      <c r="S378" s="211"/>
      <c r="T378" s="208"/>
      <c r="U378" s="208"/>
      <c r="V378" s="208"/>
      <c r="W378" s="208"/>
      <c r="X378" s="208"/>
      <c r="Y378" s="208"/>
      <c r="Z378" s="208"/>
    </row>
    <row r="379" spans="2:26" s="192" customFormat="1" ht="12">
      <c r="B379" s="208"/>
      <c r="C379" s="208"/>
      <c r="D379" s="208"/>
      <c r="E379" s="208"/>
      <c r="F379" s="208"/>
      <c r="G379" s="208"/>
      <c r="H379" s="208"/>
      <c r="I379" s="209"/>
      <c r="J379" s="209"/>
      <c r="K379" s="209"/>
      <c r="L379" s="209"/>
      <c r="M379" s="209"/>
      <c r="N379" s="209"/>
      <c r="O379" s="208"/>
      <c r="P379" s="208"/>
      <c r="Q379" s="208"/>
      <c r="R379" s="208"/>
      <c r="S379" s="211"/>
      <c r="T379" s="208"/>
      <c r="U379" s="208"/>
      <c r="V379" s="208"/>
      <c r="W379" s="208"/>
      <c r="X379" s="208"/>
      <c r="Y379" s="208"/>
      <c r="Z379" s="208"/>
    </row>
    <row r="380" spans="2:26" s="192" customFormat="1" ht="12">
      <c r="B380" s="208"/>
      <c r="C380" s="208"/>
      <c r="D380" s="208"/>
      <c r="E380" s="208"/>
      <c r="F380" s="208"/>
      <c r="G380" s="208"/>
      <c r="H380" s="208"/>
      <c r="I380" s="209"/>
      <c r="J380" s="209"/>
      <c r="K380" s="209"/>
      <c r="L380" s="209"/>
      <c r="M380" s="209"/>
      <c r="N380" s="209"/>
      <c r="O380" s="208"/>
      <c r="P380" s="208"/>
      <c r="Q380" s="208"/>
      <c r="R380" s="208"/>
      <c r="S380" s="211"/>
      <c r="T380" s="208"/>
      <c r="U380" s="208"/>
      <c r="V380" s="208"/>
      <c r="W380" s="208"/>
      <c r="X380" s="208"/>
      <c r="Y380" s="208"/>
      <c r="Z380" s="208"/>
    </row>
    <row r="381" spans="2:26" s="192" customFormat="1" ht="12">
      <c r="B381" s="208"/>
      <c r="C381" s="208"/>
      <c r="D381" s="208"/>
      <c r="E381" s="208"/>
      <c r="F381" s="208"/>
      <c r="G381" s="208"/>
      <c r="H381" s="208"/>
      <c r="I381" s="209"/>
      <c r="J381" s="209"/>
      <c r="K381" s="209"/>
      <c r="L381" s="209"/>
      <c r="M381" s="209"/>
      <c r="N381" s="209"/>
      <c r="O381" s="208"/>
      <c r="P381" s="208"/>
      <c r="Q381" s="208"/>
      <c r="R381" s="208"/>
      <c r="S381" s="211"/>
      <c r="T381" s="208"/>
      <c r="U381" s="208"/>
      <c r="V381" s="208"/>
      <c r="W381" s="208"/>
      <c r="X381" s="208"/>
      <c r="Y381" s="208"/>
      <c r="Z381" s="208"/>
    </row>
    <row r="382" spans="2:26" s="192" customFormat="1" ht="12">
      <c r="B382" s="208"/>
      <c r="C382" s="208"/>
      <c r="D382" s="208"/>
      <c r="E382" s="208"/>
      <c r="F382" s="208"/>
      <c r="G382" s="208"/>
      <c r="H382" s="208"/>
      <c r="I382" s="209"/>
      <c r="J382" s="209"/>
      <c r="K382" s="209"/>
      <c r="L382" s="209"/>
      <c r="M382" s="209"/>
      <c r="N382" s="209"/>
      <c r="O382" s="208"/>
      <c r="P382" s="208"/>
      <c r="Q382" s="208"/>
      <c r="R382" s="208"/>
      <c r="S382" s="211"/>
      <c r="T382" s="208"/>
      <c r="U382" s="208"/>
      <c r="V382" s="208"/>
      <c r="W382" s="208"/>
      <c r="X382" s="208"/>
      <c r="Y382" s="208"/>
      <c r="Z382" s="208"/>
    </row>
    <row r="383" spans="2:26" s="192" customFormat="1" ht="12">
      <c r="B383" s="208"/>
      <c r="C383" s="208"/>
      <c r="D383" s="208"/>
      <c r="E383" s="208"/>
      <c r="F383" s="208"/>
      <c r="G383" s="208"/>
      <c r="H383" s="208"/>
      <c r="I383" s="209"/>
      <c r="J383" s="209"/>
      <c r="K383" s="209"/>
      <c r="L383" s="209"/>
      <c r="M383" s="209"/>
      <c r="N383" s="209"/>
      <c r="O383" s="208"/>
      <c r="P383" s="208"/>
      <c r="Q383" s="208"/>
      <c r="R383" s="208"/>
      <c r="S383" s="211"/>
      <c r="T383" s="208"/>
      <c r="U383" s="208"/>
      <c r="V383" s="208"/>
      <c r="W383" s="208"/>
      <c r="X383" s="208"/>
      <c r="Y383" s="208"/>
      <c r="Z383" s="208"/>
    </row>
    <row r="384" spans="2:26" s="192" customFormat="1" ht="12">
      <c r="B384" s="208"/>
      <c r="C384" s="208"/>
      <c r="D384" s="208"/>
      <c r="E384" s="208"/>
      <c r="F384" s="208"/>
      <c r="G384" s="208"/>
      <c r="H384" s="208"/>
      <c r="I384" s="209"/>
      <c r="J384" s="209"/>
      <c r="K384" s="209"/>
      <c r="L384" s="209"/>
      <c r="M384" s="209"/>
      <c r="N384" s="209"/>
      <c r="O384" s="208"/>
      <c r="P384" s="208"/>
      <c r="Q384" s="208"/>
      <c r="R384" s="208"/>
      <c r="S384" s="211"/>
      <c r="T384" s="208"/>
      <c r="U384" s="208"/>
      <c r="V384" s="208"/>
      <c r="W384" s="208"/>
      <c r="X384" s="208"/>
      <c r="Y384" s="208"/>
      <c r="Z384" s="208"/>
    </row>
    <row r="385" spans="2:26" s="192" customFormat="1" ht="12">
      <c r="B385" s="208"/>
      <c r="C385" s="208"/>
      <c r="D385" s="208"/>
      <c r="E385" s="208"/>
      <c r="F385" s="208"/>
      <c r="G385" s="208"/>
      <c r="H385" s="208"/>
      <c r="I385" s="209"/>
      <c r="J385" s="209"/>
      <c r="K385" s="209"/>
      <c r="L385" s="209"/>
      <c r="M385" s="209"/>
      <c r="N385" s="209"/>
      <c r="O385" s="208"/>
      <c r="P385" s="208"/>
      <c r="Q385" s="208"/>
      <c r="R385" s="208"/>
      <c r="S385" s="211"/>
      <c r="T385" s="208"/>
      <c r="U385" s="208"/>
      <c r="V385" s="208"/>
      <c r="W385" s="208"/>
      <c r="X385" s="208"/>
      <c r="Y385" s="208"/>
      <c r="Z385" s="208"/>
    </row>
    <row r="386" spans="2:26" s="192" customFormat="1" ht="12">
      <c r="B386" s="208"/>
      <c r="C386" s="208"/>
      <c r="D386" s="208"/>
      <c r="E386" s="208"/>
      <c r="F386" s="208"/>
      <c r="G386" s="208"/>
      <c r="H386" s="208"/>
      <c r="I386" s="209"/>
      <c r="J386" s="209"/>
      <c r="K386" s="209"/>
      <c r="L386" s="209"/>
      <c r="M386" s="209"/>
      <c r="N386" s="209"/>
      <c r="O386" s="208"/>
      <c r="P386" s="208"/>
      <c r="Q386" s="208"/>
      <c r="R386" s="208"/>
      <c r="S386" s="211"/>
      <c r="T386" s="208"/>
      <c r="U386" s="208"/>
      <c r="V386" s="208"/>
      <c r="W386" s="208"/>
      <c r="X386" s="208"/>
      <c r="Y386" s="208"/>
      <c r="Z386" s="208"/>
    </row>
    <row r="387" spans="2:26" s="192" customFormat="1" ht="12">
      <c r="B387" s="208"/>
      <c r="C387" s="208"/>
      <c r="D387" s="208"/>
      <c r="E387" s="208"/>
      <c r="F387" s="208"/>
      <c r="G387" s="208"/>
      <c r="H387" s="208"/>
      <c r="I387" s="209"/>
      <c r="J387" s="209"/>
      <c r="K387" s="209"/>
      <c r="L387" s="209"/>
      <c r="M387" s="209"/>
      <c r="N387" s="209"/>
      <c r="O387" s="208"/>
      <c r="P387" s="208"/>
      <c r="Q387" s="208"/>
      <c r="R387" s="208"/>
      <c r="S387" s="211"/>
      <c r="T387" s="208"/>
      <c r="U387" s="208"/>
      <c r="V387" s="208"/>
      <c r="W387" s="208"/>
      <c r="X387" s="208"/>
      <c r="Y387" s="208"/>
      <c r="Z387" s="208"/>
    </row>
    <row r="388" spans="2:26" s="192" customFormat="1" ht="12">
      <c r="B388" s="208"/>
      <c r="C388" s="208"/>
      <c r="D388" s="208"/>
      <c r="E388" s="208"/>
      <c r="F388" s="208"/>
      <c r="G388" s="208"/>
      <c r="H388" s="208"/>
      <c r="I388" s="209"/>
      <c r="J388" s="209"/>
      <c r="K388" s="209"/>
      <c r="L388" s="209"/>
      <c r="M388" s="209"/>
      <c r="N388" s="209"/>
      <c r="O388" s="208"/>
      <c r="P388" s="208"/>
      <c r="Q388" s="208"/>
      <c r="R388" s="208"/>
      <c r="S388" s="211"/>
      <c r="T388" s="208"/>
      <c r="U388" s="208"/>
      <c r="V388" s="208"/>
      <c r="W388" s="208"/>
      <c r="X388" s="208"/>
      <c r="Y388" s="208"/>
      <c r="Z388" s="208"/>
    </row>
    <row r="389" spans="2:26" s="192" customFormat="1" ht="12">
      <c r="B389" s="208"/>
      <c r="C389" s="208"/>
      <c r="D389" s="208"/>
      <c r="E389" s="208"/>
      <c r="F389" s="208"/>
      <c r="G389" s="208"/>
      <c r="H389" s="208"/>
      <c r="I389" s="209"/>
      <c r="J389" s="209"/>
      <c r="K389" s="209"/>
      <c r="L389" s="209"/>
      <c r="M389" s="209"/>
      <c r="N389" s="209"/>
      <c r="O389" s="208"/>
      <c r="P389" s="208"/>
      <c r="Q389" s="208"/>
      <c r="R389" s="208"/>
      <c r="S389" s="211"/>
      <c r="T389" s="208"/>
      <c r="U389" s="208"/>
      <c r="V389" s="208"/>
      <c r="W389" s="208"/>
      <c r="X389" s="208"/>
      <c r="Y389" s="208"/>
      <c r="Z389" s="208"/>
    </row>
    <row r="390" spans="2:26" s="192" customFormat="1" ht="12">
      <c r="B390" s="208"/>
      <c r="C390" s="208"/>
      <c r="D390" s="208"/>
      <c r="E390" s="208"/>
      <c r="F390" s="208"/>
      <c r="G390" s="208"/>
      <c r="H390" s="208"/>
      <c r="I390" s="209"/>
      <c r="J390" s="209"/>
      <c r="K390" s="209"/>
      <c r="L390" s="209"/>
      <c r="M390" s="209"/>
      <c r="N390" s="209"/>
      <c r="O390" s="208"/>
      <c r="P390" s="208"/>
      <c r="Q390" s="208"/>
      <c r="R390" s="208"/>
      <c r="S390" s="211"/>
      <c r="T390" s="208"/>
      <c r="U390" s="208"/>
      <c r="V390" s="208"/>
      <c r="W390" s="208"/>
      <c r="X390" s="208"/>
      <c r="Y390" s="208"/>
      <c r="Z390" s="208"/>
    </row>
    <row r="391" spans="2:26" s="192" customFormat="1" ht="12">
      <c r="B391" s="208"/>
      <c r="C391" s="208"/>
      <c r="D391" s="208"/>
      <c r="E391" s="208"/>
      <c r="F391" s="208"/>
      <c r="G391" s="208"/>
      <c r="H391" s="208"/>
      <c r="I391" s="209"/>
      <c r="J391" s="209"/>
      <c r="K391" s="209"/>
      <c r="L391" s="209"/>
      <c r="M391" s="209"/>
      <c r="N391" s="209"/>
      <c r="O391" s="208"/>
      <c r="P391" s="208"/>
      <c r="Q391" s="208"/>
      <c r="R391" s="208"/>
      <c r="S391" s="211"/>
      <c r="T391" s="208"/>
      <c r="U391" s="208"/>
      <c r="V391" s="208"/>
      <c r="W391" s="208"/>
      <c r="X391" s="208"/>
      <c r="Y391" s="208"/>
      <c r="Z391" s="208"/>
    </row>
    <row r="392" spans="2:26" s="192" customFormat="1" ht="12">
      <c r="B392" s="208"/>
      <c r="C392" s="208"/>
      <c r="D392" s="208"/>
      <c r="E392" s="208"/>
      <c r="F392" s="208"/>
      <c r="G392" s="208"/>
      <c r="H392" s="208"/>
      <c r="I392" s="209"/>
      <c r="J392" s="209"/>
      <c r="K392" s="209"/>
      <c r="L392" s="209"/>
      <c r="M392" s="209"/>
      <c r="N392" s="209"/>
      <c r="O392" s="208"/>
      <c r="P392" s="208"/>
      <c r="Q392" s="208"/>
      <c r="R392" s="208"/>
      <c r="S392" s="211"/>
      <c r="T392" s="208"/>
      <c r="U392" s="208"/>
      <c r="V392" s="208"/>
      <c r="W392" s="208"/>
      <c r="X392" s="208"/>
      <c r="Y392" s="208"/>
      <c r="Z392" s="208"/>
    </row>
    <row r="393" spans="2:26" s="192" customFormat="1" ht="12">
      <c r="B393" s="208"/>
      <c r="C393" s="208"/>
      <c r="D393" s="208"/>
      <c r="E393" s="208"/>
      <c r="F393" s="208"/>
      <c r="G393" s="208"/>
      <c r="H393" s="208"/>
      <c r="I393" s="209"/>
      <c r="J393" s="209"/>
      <c r="K393" s="209"/>
      <c r="L393" s="209"/>
      <c r="M393" s="209"/>
      <c r="N393" s="209"/>
      <c r="O393" s="208"/>
      <c r="P393" s="208"/>
      <c r="Q393" s="208"/>
      <c r="R393" s="208"/>
      <c r="S393" s="211"/>
      <c r="T393" s="208"/>
      <c r="U393" s="208"/>
      <c r="V393" s="208"/>
      <c r="W393" s="208"/>
      <c r="X393" s="208"/>
      <c r="Y393" s="208"/>
      <c r="Z393" s="208"/>
    </row>
    <row r="394" spans="2:26" s="192" customFormat="1" ht="12">
      <c r="B394" s="208"/>
      <c r="C394" s="208"/>
      <c r="D394" s="208"/>
      <c r="E394" s="208"/>
      <c r="F394" s="208"/>
      <c r="G394" s="208"/>
      <c r="H394" s="208"/>
      <c r="I394" s="209"/>
      <c r="J394" s="209"/>
      <c r="K394" s="209"/>
      <c r="L394" s="209"/>
      <c r="M394" s="209"/>
      <c r="N394" s="209"/>
      <c r="O394" s="208"/>
      <c r="P394" s="208"/>
      <c r="Q394" s="208"/>
      <c r="R394" s="208"/>
      <c r="S394" s="211"/>
      <c r="T394" s="208"/>
      <c r="U394" s="208"/>
      <c r="V394" s="208"/>
      <c r="W394" s="208"/>
      <c r="X394" s="208"/>
      <c r="Y394" s="208"/>
      <c r="Z394" s="208"/>
    </row>
    <row r="395" spans="2:26" s="192" customFormat="1" ht="12">
      <c r="B395" s="208"/>
      <c r="C395" s="208"/>
      <c r="D395" s="208"/>
      <c r="E395" s="208"/>
      <c r="F395" s="208"/>
      <c r="G395" s="208"/>
      <c r="H395" s="208"/>
      <c r="I395" s="209"/>
      <c r="J395" s="209"/>
      <c r="K395" s="209"/>
      <c r="L395" s="209"/>
      <c r="M395" s="209"/>
      <c r="N395" s="209"/>
      <c r="O395" s="208"/>
      <c r="P395" s="208"/>
      <c r="Q395" s="208"/>
      <c r="R395" s="208"/>
      <c r="S395" s="211"/>
      <c r="T395" s="208"/>
      <c r="U395" s="208"/>
      <c r="V395" s="208"/>
      <c r="W395" s="208"/>
      <c r="X395" s="208"/>
      <c r="Y395" s="208"/>
      <c r="Z395" s="208"/>
    </row>
    <row r="396" spans="2:26" s="192" customFormat="1" ht="12">
      <c r="B396" s="208"/>
      <c r="C396" s="208"/>
      <c r="D396" s="208"/>
      <c r="E396" s="208"/>
      <c r="F396" s="208"/>
      <c r="G396" s="208"/>
      <c r="H396" s="208"/>
      <c r="I396" s="209"/>
      <c r="J396" s="209"/>
      <c r="K396" s="209"/>
      <c r="L396" s="209"/>
      <c r="M396" s="209"/>
      <c r="N396" s="209"/>
      <c r="O396" s="208"/>
      <c r="P396" s="208"/>
      <c r="Q396" s="208"/>
      <c r="R396" s="208"/>
      <c r="S396" s="211"/>
      <c r="T396" s="208"/>
      <c r="U396" s="208"/>
      <c r="V396" s="208"/>
      <c r="W396" s="208"/>
      <c r="X396" s="208"/>
      <c r="Y396" s="208"/>
      <c r="Z396" s="208"/>
    </row>
    <row r="397" spans="2:26" s="192" customFormat="1" ht="12">
      <c r="B397" s="208"/>
      <c r="C397" s="208"/>
      <c r="D397" s="208"/>
      <c r="E397" s="208"/>
      <c r="F397" s="208"/>
      <c r="G397" s="208"/>
      <c r="H397" s="208"/>
      <c r="I397" s="209"/>
      <c r="J397" s="209"/>
      <c r="K397" s="209"/>
      <c r="L397" s="209"/>
      <c r="M397" s="209"/>
      <c r="N397" s="209"/>
      <c r="O397" s="208"/>
      <c r="P397" s="208"/>
      <c r="Q397" s="208"/>
      <c r="R397" s="208"/>
      <c r="S397" s="211"/>
      <c r="T397" s="208"/>
      <c r="U397" s="208"/>
      <c r="V397" s="208"/>
      <c r="W397" s="208"/>
      <c r="X397" s="208"/>
      <c r="Y397" s="208"/>
      <c r="Z397" s="208"/>
    </row>
    <row r="398" spans="2:26" s="192" customFormat="1" ht="12">
      <c r="B398" s="208"/>
      <c r="C398" s="208"/>
      <c r="D398" s="208"/>
      <c r="E398" s="208"/>
      <c r="F398" s="208"/>
      <c r="G398" s="208"/>
      <c r="H398" s="208"/>
      <c r="I398" s="209"/>
      <c r="J398" s="209"/>
      <c r="K398" s="209"/>
      <c r="L398" s="209"/>
      <c r="M398" s="209"/>
      <c r="N398" s="209"/>
      <c r="O398" s="208"/>
      <c r="P398" s="208"/>
      <c r="Q398" s="208"/>
      <c r="R398" s="208"/>
      <c r="S398" s="211"/>
      <c r="T398" s="208"/>
      <c r="U398" s="208"/>
      <c r="V398" s="208"/>
      <c r="W398" s="208"/>
      <c r="X398" s="208"/>
      <c r="Y398" s="208"/>
      <c r="Z398" s="208"/>
    </row>
    <row r="399" spans="2:26" s="192" customFormat="1" ht="12">
      <c r="B399" s="208"/>
      <c r="C399" s="208"/>
      <c r="D399" s="208"/>
      <c r="E399" s="208"/>
      <c r="F399" s="208"/>
      <c r="G399" s="208"/>
      <c r="H399" s="208"/>
      <c r="I399" s="209"/>
      <c r="J399" s="209"/>
      <c r="K399" s="209"/>
      <c r="L399" s="209"/>
      <c r="M399" s="209"/>
      <c r="N399" s="209"/>
      <c r="O399" s="208"/>
      <c r="P399" s="208"/>
      <c r="Q399" s="208"/>
      <c r="R399" s="208"/>
      <c r="S399" s="211"/>
      <c r="T399" s="208"/>
      <c r="U399" s="208"/>
      <c r="V399" s="208"/>
      <c r="W399" s="208"/>
      <c r="X399" s="208"/>
      <c r="Y399" s="208"/>
      <c r="Z399" s="208"/>
    </row>
    <row r="400" spans="2:26" s="192" customFormat="1" ht="12">
      <c r="B400" s="208"/>
      <c r="C400" s="208"/>
      <c r="D400" s="208"/>
      <c r="E400" s="208"/>
      <c r="F400" s="208"/>
      <c r="G400" s="208"/>
      <c r="H400" s="208"/>
      <c r="I400" s="209"/>
      <c r="J400" s="209"/>
      <c r="K400" s="209"/>
      <c r="L400" s="209"/>
      <c r="M400" s="209"/>
      <c r="N400" s="209"/>
      <c r="O400" s="208"/>
      <c r="P400" s="208"/>
      <c r="Q400" s="208"/>
      <c r="R400" s="208"/>
      <c r="S400" s="211"/>
      <c r="T400" s="208"/>
      <c r="U400" s="208"/>
      <c r="V400" s="208"/>
      <c r="W400" s="208"/>
      <c r="X400" s="208"/>
      <c r="Y400" s="208"/>
      <c r="Z400" s="208"/>
    </row>
    <row r="401" spans="2:26" s="192" customFormat="1" ht="12">
      <c r="B401" s="208"/>
      <c r="C401" s="208"/>
      <c r="D401" s="208"/>
      <c r="E401" s="208"/>
      <c r="F401" s="208"/>
      <c r="G401" s="208"/>
      <c r="H401" s="208"/>
      <c r="I401" s="209"/>
      <c r="J401" s="209"/>
      <c r="K401" s="209"/>
      <c r="L401" s="209"/>
      <c r="M401" s="209"/>
      <c r="N401" s="209"/>
      <c r="O401" s="208"/>
      <c r="P401" s="208"/>
      <c r="Q401" s="208"/>
      <c r="R401" s="208"/>
      <c r="S401" s="211"/>
      <c r="T401" s="208"/>
      <c r="U401" s="208"/>
      <c r="V401" s="208"/>
      <c r="W401" s="208"/>
      <c r="X401" s="208"/>
      <c r="Y401" s="208"/>
      <c r="Z401" s="208"/>
    </row>
    <row r="402" spans="2:26" s="192" customFormat="1" ht="12">
      <c r="B402" s="208"/>
      <c r="C402" s="208"/>
      <c r="D402" s="208"/>
      <c r="E402" s="208"/>
      <c r="F402" s="208"/>
      <c r="G402" s="208"/>
      <c r="H402" s="208"/>
      <c r="I402" s="209"/>
      <c r="J402" s="209"/>
      <c r="K402" s="209"/>
      <c r="L402" s="209"/>
      <c r="M402" s="209"/>
      <c r="N402" s="209"/>
      <c r="O402" s="208"/>
      <c r="P402" s="208"/>
      <c r="Q402" s="208"/>
      <c r="R402" s="208"/>
      <c r="S402" s="211"/>
      <c r="T402" s="208"/>
      <c r="U402" s="208"/>
      <c r="V402" s="208"/>
      <c r="W402" s="208"/>
      <c r="X402" s="208"/>
      <c r="Y402" s="208"/>
      <c r="Z402" s="208"/>
    </row>
    <row r="403" spans="2:26" s="192" customFormat="1" ht="12">
      <c r="B403" s="208"/>
      <c r="C403" s="208"/>
      <c r="D403" s="208"/>
      <c r="E403" s="208"/>
      <c r="F403" s="208"/>
      <c r="G403" s="208"/>
      <c r="H403" s="208"/>
      <c r="I403" s="209"/>
      <c r="J403" s="209"/>
      <c r="K403" s="209"/>
      <c r="L403" s="209"/>
      <c r="M403" s="209"/>
      <c r="N403" s="209"/>
      <c r="O403" s="208"/>
      <c r="P403" s="208"/>
      <c r="Q403" s="208"/>
      <c r="R403" s="208"/>
      <c r="S403" s="211"/>
      <c r="T403" s="208"/>
      <c r="U403" s="208"/>
      <c r="V403" s="208"/>
      <c r="W403" s="208"/>
      <c r="X403" s="208"/>
      <c r="Y403" s="208"/>
      <c r="Z403" s="208"/>
    </row>
    <row r="404" spans="2:26" s="192" customFormat="1" ht="12">
      <c r="B404" s="208"/>
      <c r="C404" s="208"/>
      <c r="D404" s="208"/>
      <c r="E404" s="208"/>
      <c r="F404" s="208"/>
      <c r="G404" s="208"/>
      <c r="H404" s="208"/>
      <c r="I404" s="209"/>
      <c r="J404" s="209"/>
      <c r="K404" s="209"/>
      <c r="L404" s="209"/>
      <c r="M404" s="209"/>
      <c r="N404" s="209"/>
      <c r="O404" s="208"/>
      <c r="P404" s="208"/>
      <c r="Q404" s="208"/>
      <c r="R404" s="208"/>
      <c r="S404" s="211"/>
      <c r="T404" s="208"/>
      <c r="U404" s="208"/>
      <c r="V404" s="208"/>
      <c r="W404" s="208"/>
      <c r="X404" s="208"/>
      <c r="Y404" s="208"/>
      <c r="Z404" s="208"/>
    </row>
    <row r="405" spans="2:26" s="192" customFormat="1" ht="12">
      <c r="B405" s="208"/>
      <c r="C405" s="208"/>
      <c r="D405" s="208"/>
      <c r="E405" s="208"/>
      <c r="F405" s="208"/>
      <c r="G405" s="208"/>
      <c r="H405" s="208"/>
      <c r="I405" s="209"/>
      <c r="J405" s="209"/>
      <c r="K405" s="209"/>
      <c r="L405" s="209"/>
      <c r="M405" s="209"/>
      <c r="N405" s="209"/>
      <c r="O405" s="208"/>
      <c r="P405" s="208"/>
      <c r="Q405" s="208"/>
      <c r="R405" s="208"/>
      <c r="S405" s="211"/>
      <c r="T405" s="208"/>
      <c r="U405" s="208"/>
      <c r="V405" s="208"/>
      <c r="W405" s="208"/>
      <c r="X405" s="208"/>
      <c r="Y405" s="208"/>
      <c r="Z405" s="208"/>
    </row>
    <row r="406" spans="2:26" s="192" customFormat="1" ht="12">
      <c r="B406" s="208"/>
      <c r="C406" s="208"/>
      <c r="D406" s="208"/>
      <c r="E406" s="208"/>
      <c r="F406" s="208"/>
      <c r="G406" s="208"/>
      <c r="H406" s="208"/>
      <c r="I406" s="209"/>
      <c r="J406" s="209"/>
      <c r="K406" s="209"/>
      <c r="L406" s="209"/>
      <c r="M406" s="209"/>
      <c r="N406" s="209"/>
      <c r="O406" s="208"/>
      <c r="P406" s="208"/>
      <c r="Q406" s="208"/>
      <c r="R406" s="208"/>
      <c r="S406" s="211"/>
      <c r="T406" s="208"/>
      <c r="U406" s="208"/>
      <c r="V406" s="208"/>
      <c r="W406" s="208"/>
      <c r="X406" s="208"/>
      <c r="Y406" s="208"/>
      <c r="Z406" s="208"/>
    </row>
    <row r="407" spans="2:26" s="192" customFormat="1" ht="12">
      <c r="B407" s="208"/>
      <c r="C407" s="208"/>
      <c r="D407" s="208"/>
      <c r="E407" s="208"/>
      <c r="F407" s="208"/>
      <c r="G407" s="208"/>
      <c r="H407" s="208"/>
      <c r="I407" s="209"/>
      <c r="J407" s="209"/>
      <c r="K407" s="209"/>
      <c r="L407" s="209"/>
      <c r="M407" s="209"/>
      <c r="N407" s="209"/>
      <c r="O407" s="208"/>
      <c r="P407" s="208"/>
      <c r="Q407" s="208"/>
      <c r="R407" s="208"/>
      <c r="S407" s="211"/>
      <c r="T407" s="208"/>
      <c r="U407" s="208"/>
      <c r="V407" s="208"/>
      <c r="W407" s="208"/>
      <c r="X407" s="208"/>
      <c r="Y407" s="208"/>
      <c r="Z407" s="208"/>
    </row>
    <row r="408" spans="2:26" s="192" customFormat="1" ht="12">
      <c r="B408" s="208"/>
      <c r="C408" s="208"/>
      <c r="D408" s="208"/>
      <c r="E408" s="208"/>
      <c r="F408" s="208"/>
      <c r="G408" s="208"/>
      <c r="H408" s="208"/>
      <c r="I408" s="209"/>
      <c r="J408" s="209"/>
      <c r="K408" s="209"/>
      <c r="L408" s="209"/>
      <c r="M408" s="209"/>
      <c r="N408" s="209"/>
      <c r="O408" s="208"/>
      <c r="P408" s="208"/>
      <c r="Q408" s="208"/>
      <c r="R408" s="208"/>
      <c r="S408" s="211"/>
      <c r="T408" s="208"/>
      <c r="U408" s="208"/>
      <c r="V408" s="208"/>
      <c r="W408" s="208"/>
      <c r="X408" s="208"/>
      <c r="Y408" s="208"/>
      <c r="Z408" s="208"/>
    </row>
    <row r="409" spans="2:26" s="192" customFormat="1" ht="12">
      <c r="B409" s="208"/>
      <c r="C409" s="208"/>
      <c r="D409" s="208"/>
      <c r="E409" s="208"/>
      <c r="F409" s="208"/>
      <c r="G409" s="208"/>
      <c r="H409" s="208"/>
      <c r="I409" s="209"/>
      <c r="J409" s="209"/>
      <c r="K409" s="209"/>
      <c r="L409" s="209"/>
      <c r="M409" s="209"/>
      <c r="N409" s="209"/>
      <c r="O409" s="208"/>
      <c r="P409" s="208"/>
      <c r="Q409" s="208"/>
      <c r="R409" s="208"/>
      <c r="S409" s="211"/>
      <c r="T409" s="208"/>
      <c r="U409" s="208"/>
      <c r="V409" s="208"/>
      <c r="W409" s="208"/>
      <c r="X409" s="208"/>
      <c r="Y409" s="208"/>
      <c r="Z409" s="208"/>
    </row>
    <row r="410" spans="2:26" s="192" customFormat="1" ht="12">
      <c r="B410" s="208"/>
      <c r="C410" s="208"/>
      <c r="D410" s="208"/>
      <c r="E410" s="208"/>
      <c r="F410" s="208"/>
      <c r="G410" s="208"/>
      <c r="H410" s="208"/>
      <c r="I410" s="209"/>
      <c r="J410" s="209"/>
      <c r="K410" s="209"/>
      <c r="L410" s="209"/>
      <c r="M410" s="209"/>
      <c r="N410" s="209"/>
      <c r="O410" s="208"/>
      <c r="P410" s="208"/>
      <c r="Q410" s="208"/>
      <c r="R410" s="208"/>
      <c r="S410" s="211"/>
      <c r="T410" s="208"/>
      <c r="U410" s="208"/>
      <c r="V410" s="208"/>
      <c r="W410" s="208"/>
      <c r="X410" s="208"/>
      <c r="Y410" s="208"/>
      <c r="Z410" s="208"/>
    </row>
    <row r="411" spans="2:26" s="192" customFormat="1" ht="12">
      <c r="B411" s="208"/>
      <c r="C411" s="208"/>
      <c r="D411" s="208"/>
      <c r="E411" s="208"/>
      <c r="F411" s="208"/>
      <c r="G411" s="208"/>
      <c r="H411" s="208"/>
      <c r="I411" s="209"/>
      <c r="J411" s="209"/>
      <c r="K411" s="209"/>
      <c r="L411" s="209"/>
      <c r="M411" s="209"/>
      <c r="N411" s="209"/>
      <c r="O411" s="208"/>
      <c r="P411" s="208"/>
      <c r="Q411" s="208"/>
      <c r="R411" s="208"/>
      <c r="S411" s="211"/>
      <c r="T411" s="208"/>
      <c r="U411" s="208"/>
      <c r="V411" s="208"/>
      <c r="W411" s="208"/>
      <c r="X411" s="208"/>
      <c r="Y411" s="208"/>
      <c r="Z411" s="208"/>
    </row>
    <row r="412" spans="2:26" s="192" customFormat="1" ht="12">
      <c r="B412" s="208"/>
      <c r="C412" s="208"/>
      <c r="D412" s="208"/>
      <c r="E412" s="208"/>
      <c r="F412" s="208"/>
      <c r="G412" s="208"/>
      <c r="H412" s="208"/>
      <c r="I412" s="209"/>
      <c r="J412" s="209"/>
      <c r="K412" s="209"/>
      <c r="L412" s="209"/>
      <c r="M412" s="209"/>
      <c r="N412" s="209"/>
      <c r="O412" s="208"/>
      <c r="P412" s="208"/>
      <c r="Q412" s="208"/>
      <c r="R412" s="208"/>
      <c r="S412" s="211"/>
      <c r="T412" s="208"/>
      <c r="U412" s="208"/>
      <c r="V412" s="208"/>
      <c r="W412" s="208"/>
      <c r="X412" s="208"/>
      <c r="Y412" s="208"/>
      <c r="Z412" s="208"/>
    </row>
    <row r="413" spans="2:26" s="192" customFormat="1" ht="12">
      <c r="B413" s="208"/>
      <c r="C413" s="208"/>
      <c r="D413" s="208"/>
      <c r="E413" s="208"/>
      <c r="F413" s="208"/>
      <c r="G413" s="208"/>
      <c r="H413" s="208"/>
      <c r="I413" s="209"/>
      <c r="J413" s="209"/>
      <c r="K413" s="209"/>
      <c r="L413" s="209"/>
      <c r="M413" s="209"/>
      <c r="N413" s="209"/>
      <c r="O413" s="208"/>
      <c r="P413" s="208"/>
      <c r="Q413" s="208"/>
      <c r="R413" s="208"/>
      <c r="S413" s="211"/>
      <c r="T413" s="208"/>
      <c r="U413" s="208"/>
      <c r="V413" s="208"/>
      <c r="W413" s="208"/>
      <c r="X413" s="208"/>
      <c r="Y413" s="208"/>
      <c r="Z413" s="208"/>
    </row>
    <row r="414" spans="2:26" s="192" customFormat="1" ht="12">
      <c r="B414" s="208"/>
      <c r="C414" s="208"/>
      <c r="D414" s="208"/>
      <c r="E414" s="208"/>
      <c r="F414" s="208"/>
      <c r="G414" s="208"/>
      <c r="H414" s="208"/>
      <c r="I414" s="209"/>
      <c r="J414" s="209"/>
      <c r="K414" s="209"/>
      <c r="L414" s="209"/>
      <c r="M414" s="209"/>
      <c r="N414" s="209"/>
      <c r="O414" s="208"/>
      <c r="P414" s="208"/>
      <c r="Q414" s="208"/>
      <c r="R414" s="208"/>
      <c r="S414" s="211"/>
      <c r="T414" s="208"/>
      <c r="U414" s="208"/>
      <c r="V414" s="208"/>
      <c r="W414" s="208"/>
      <c r="X414" s="208"/>
      <c r="Y414" s="208"/>
      <c r="Z414" s="208"/>
    </row>
    <row r="415" spans="2:26" s="192" customFormat="1" ht="12">
      <c r="B415" s="208"/>
      <c r="C415" s="208"/>
      <c r="D415" s="208"/>
      <c r="E415" s="208"/>
      <c r="F415" s="208"/>
      <c r="G415" s="208"/>
      <c r="H415" s="208"/>
      <c r="I415" s="209"/>
      <c r="J415" s="209"/>
      <c r="K415" s="209"/>
      <c r="L415" s="209"/>
      <c r="M415" s="209"/>
      <c r="N415" s="209"/>
      <c r="O415" s="208"/>
      <c r="P415" s="208"/>
      <c r="Q415" s="208"/>
      <c r="R415" s="208"/>
      <c r="S415" s="211"/>
      <c r="T415" s="208"/>
      <c r="U415" s="208"/>
      <c r="V415" s="208"/>
      <c r="W415" s="208"/>
      <c r="X415" s="208"/>
      <c r="Y415" s="208"/>
      <c r="Z415" s="208"/>
    </row>
    <row r="416" spans="2:26" s="192" customFormat="1" ht="12">
      <c r="B416" s="208"/>
      <c r="C416" s="208"/>
      <c r="D416" s="208"/>
      <c r="E416" s="208"/>
      <c r="F416" s="208"/>
      <c r="G416" s="208"/>
      <c r="H416" s="208"/>
      <c r="I416" s="209"/>
      <c r="J416" s="209"/>
      <c r="K416" s="209"/>
      <c r="L416" s="209"/>
      <c r="M416" s="209"/>
      <c r="N416" s="209"/>
      <c r="O416" s="208"/>
      <c r="P416" s="208"/>
      <c r="Q416" s="208"/>
      <c r="R416" s="208"/>
      <c r="S416" s="211"/>
      <c r="T416" s="208"/>
      <c r="U416" s="208"/>
      <c r="V416" s="208"/>
      <c r="W416" s="208"/>
      <c r="X416" s="208"/>
      <c r="Y416" s="208"/>
      <c r="Z416" s="208"/>
    </row>
    <row r="417" spans="2:26" s="192" customFormat="1" ht="12">
      <c r="B417" s="208"/>
      <c r="C417" s="208"/>
      <c r="D417" s="208"/>
      <c r="E417" s="208"/>
      <c r="F417" s="208"/>
      <c r="G417" s="208"/>
      <c r="H417" s="208"/>
      <c r="I417" s="209"/>
      <c r="J417" s="209"/>
      <c r="K417" s="209"/>
      <c r="L417" s="209"/>
      <c r="M417" s="209"/>
      <c r="N417" s="209"/>
      <c r="O417" s="208"/>
      <c r="P417" s="208"/>
      <c r="Q417" s="208"/>
      <c r="R417" s="208"/>
      <c r="S417" s="211"/>
      <c r="T417" s="208"/>
      <c r="U417" s="208"/>
      <c r="V417" s="208"/>
      <c r="W417" s="208"/>
      <c r="X417" s="208"/>
      <c r="Y417" s="208"/>
      <c r="Z417" s="208"/>
    </row>
    <row r="418" spans="2:26" s="192" customFormat="1" ht="12">
      <c r="B418" s="208"/>
      <c r="C418" s="208"/>
      <c r="D418" s="208"/>
      <c r="E418" s="208"/>
      <c r="F418" s="208"/>
      <c r="G418" s="208"/>
      <c r="H418" s="208"/>
      <c r="I418" s="209"/>
      <c r="J418" s="209"/>
      <c r="K418" s="209"/>
      <c r="L418" s="209"/>
      <c r="M418" s="209"/>
      <c r="N418" s="209"/>
      <c r="O418" s="208"/>
      <c r="P418" s="208"/>
      <c r="Q418" s="208"/>
      <c r="R418" s="208"/>
      <c r="S418" s="211"/>
      <c r="T418" s="208"/>
      <c r="U418" s="208"/>
      <c r="V418" s="208"/>
      <c r="W418" s="208"/>
      <c r="X418" s="208"/>
      <c r="Y418" s="208"/>
      <c r="Z418" s="208"/>
    </row>
    <row r="419" spans="2:26" s="192" customFormat="1" ht="12">
      <c r="B419" s="208"/>
      <c r="C419" s="208"/>
      <c r="D419" s="208"/>
      <c r="E419" s="208"/>
      <c r="F419" s="208"/>
      <c r="G419" s="208"/>
      <c r="H419" s="208"/>
      <c r="I419" s="209"/>
      <c r="J419" s="209"/>
      <c r="K419" s="209"/>
      <c r="L419" s="209"/>
      <c r="M419" s="209"/>
      <c r="N419" s="209"/>
      <c r="O419" s="208"/>
      <c r="P419" s="208"/>
      <c r="Q419" s="208"/>
      <c r="R419" s="208"/>
      <c r="S419" s="211"/>
      <c r="T419" s="208"/>
      <c r="U419" s="208"/>
      <c r="V419" s="208"/>
      <c r="W419" s="208"/>
      <c r="X419" s="208"/>
      <c r="Y419" s="208"/>
      <c r="Z419" s="208"/>
    </row>
    <row r="420" spans="2:26" s="192" customFormat="1" ht="12">
      <c r="B420" s="208"/>
      <c r="C420" s="208"/>
      <c r="D420" s="208"/>
      <c r="E420" s="208"/>
      <c r="F420" s="208"/>
      <c r="G420" s="208"/>
      <c r="H420" s="208"/>
      <c r="I420" s="209"/>
      <c r="J420" s="209"/>
      <c r="K420" s="209"/>
      <c r="L420" s="209"/>
      <c r="M420" s="209"/>
      <c r="N420" s="209"/>
      <c r="O420" s="208"/>
      <c r="P420" s="208"/>
      <c r="Q420" s="208"/>
      <c r="R420" s="208"/>
      <c r="S420" s="211"/>
      <c r="T420" s="208"/>
      <c r="U420" s="208"/>
      <c r="V420" s="208"/>
      <c r="W420" s="208"/>
      <c r="X420" s="208"/>
      <c r="Y420" s="208"/>
      <c r="Z420" s="208"/>
    </row>
    <row r="421" spans="2:26" s="192" customFormat="1" ht="12">
      <c r="B421" s="208"/>
      <c r="C421" s="208"/>
      <c r="D421" s="208"/>
      <c r="E421" s="208"/>
      <c r="F421" s="208"/>
      <c r="G421" s="208"/>
      <c r="H421" s="208"/>
      <c r="I421" s="209"/>
      <c r="J421" s="209"/>
      <c r="K421" s="209"/>
      <c r="L421" s="209"/>
      <c r="M421" s="209"/>
      <c r="N421" s="209"/>
      <c r="O421" s="208"/>
      <c r="P421" s="208"/>
      <c r="Q421" s="208"/>
      <c r="R421" s="208"/>
      <c r="S421" s="211"/>
      <c r="T421" s="208"/>
      <c r="U421" s="208"/>
      <c r="V421" s="208"/>
      <c r="W421" s="208"/>
      <c r="X421" s="208"/>
      <c r="Y421" s="208"/>
      <c r="Z421" s="208"/>
    </row>
    <row r="422" spans="2:26" s="192" customFormat="1" ht="12">
      <c r="B422" s="208"/>
      <c r="C422" s="208"/>
      <c r="D422" s="208"/>
      <c r="E422" s="208"/>
      <c r="F422" s="208"/>
      <c r="G422" s="208"/>
      <c r="H422" s="208"/>
      <c r="I422" s="209"/>
      <c r="J422" s="209"/>
      <c r="K422" s="209"/>
      <c r="L422" s="209"/>
      <c r="M422" s="209"/>
      <c r="N422" s="209"/>
      <c r="O422" s="208"/>
      <c r="P422" s="208"/>
      <c r="Q422" s="208"/>
      <c r="R422" s="208"/>
      <c r="S422" s="211"/>
      <c r="T422" s="208"/>
      <c r="U422" s="208"/>
      <c r="V422" s="208"/>
      <c r="W422" s="208"/>
      <c r="X422" s="208"/>
      <c r="Y422" s="208"/>
      <c r="Z422" s="208"/>
    </row>
    <row r="423" spans="2:26" s="192" customFormat="1" ht="12">
      <c r="B423" s="208"/>
      <c r="C423" s="208"/>
      <c r="D423" s="208"/>
      <c r="E423" s="208"/>
      <c r="F423" s="208"/>
      <c r="G423" s="208"/>
      <c r="H423" s="208"/>
      <c r="I423" s="209"/>
      <c r="J423" s="209"/>
      <c r="K423" s="209"/>
      <c r="L423" s="209"/>
      <c r="M423" s="209"/>
      <c r="N423" s="209"/>
      <c r="O423" s="208"/>
      <c r="P423" s="208"/>
      <c r="Q423" s="208"/>
      <c r="R423" s="208"/>
      <c r="S423" s="211"/>
      <c r="T423" s="208"/>
      <c r="U423" s="208"/>
      <c r="V423" s="208"/>
      <c r="W423" s="208"/>
      <c r="X423" s="208"/>
      <c r="Y423" s="208"/>
      <c r="Z423" s="208"/>
    </row>
    <row r="424" spans="2:26" s="192" customFormat="1" ht="12">
      <c r="B424" s="208"/>
      <c r="C424" s="208"/>
      <c r="D424" s="208"/>
      <c r="E424" s="208"/>
      <c r="F424" s="208"/>
      <c r="G424" s="208"/>
      <c r="H424" s="208"/>
      <c r="I424" s="209"/>
      <c r="J424" s="209"/>
      <c r="K424" s="209"/>
      <c r="L424" s="209"/>
      <c r="M424" s="209"/>
      <c r="N424" s="209"/>
      <c r="O424" s="208"/>
      <c r="P424" s="208"/>
      <c r="Q424" s="208"/>
      <c r="R424" s="208"/>
      <c r="S424" s="211"/>
      <c r="T424" s="208"/>
      <c r="U424" s="208"/>
      <c r="V424" s="208"/>
      <c r="W424" s="208"/>
      <c r="X424" s="208"/>
      <c r="Y424" s="208"/>
      <c r="Z424" s="208"/>
    </row>
    <row r="425" spans="2:26" s="192" customFormat="1" ht="12">
      <c r="B425" s="208"/>
      <c r="C425" s="208"/>
      <c r="D425" s="208"/>
      <c r="E425" s="208"/>
      <c r="F425" s="208"/>
      <c r="G425" s="208"/>
      <c r="H425" s="208"/>
      <c r="I425" s="209"/>
      <c r="J425" s="209"/>
      <c r="K425" s="209"/>
      <c r="L425" s="209"/>
      <c r="M425" s="209"/>
      <c r="N425" s="209"/>
      <c r="O425" s="208"/>
      <c r="P425" s="208"/>
      <c r="Q425" s="208"/>
      <c r="R425" s="208"/>
      <c r="S425" s="211"/>
      <c r="T425" s="208"/>
      <c r="U425" s="208"/>
      <c r="V425" s="208"/>
      <c r="W425" s="208"/>
      <c r="X425" s="208"/>
      <c r="Y425" s="208"/>
      <c r="Z425" s="208"/>
    </row>
    <row r="426" spans="2:26" s="192" customFormat="1" ht="12">
      <c r="B426" s="208"/>
      <c r="C426" s="208"/>
      <c r="D426" s="208"/>
      <c r="E426" s="208"/>
      <c r="F426" s="208"/>
      <c r="G426" s="208"/>
      <c r="H426" s="208"/>
      <c r="I426" s="209"/>
      <c r="J426" s="209"/>
      <c r="K426" s="209"/>
      <c r="L426" s="209"/>
      <c r="M426" s="209"/>
      <c r="N426" s="209"/>
      <c r="O426" s="208"/>
      <c r="P426" s="208"/>
      <c r="Q426" s="208"/>
      <c r="R426" s="208"/>
      <c r="S426" s="211"/>
      <c r="T426" s="208"/>
      <c r="U426" s="208"/>
      <c r="V426" s="208"/>
      <c r="W426" s="208"/>
      <c r="X426" s="208"/>
      <c r="Y426" s="208"/>
      <c r="Z426" s="208"/>
    </row>
    <row r="427" spans="2:26" s="192" customFormat="1" ht="12">
      <c r="B427" s="208"/>
      <c r="C427" s="208"/>
      <c r="D427" s="208"/>
      <c r="E427" s="208"/>
      <c r="F427" s="208"/>
      <c r="G427" s="208"/>
      <c r="H427" s="208"/>
      <c r="I427" s="209"/>
      <c r="J427" s="209"/>
      <c r="K427" s="209"/>
      <c r="L427" s="209"/>
      <c r="M427" s="209"/>
      <c r="N427" s="209"/>
      <c r="O427" s="208"/>
      <c r="P427" s="208"/>
      <c r="Q427" s="208"/>
      <c r="R427" s="208"/>
      <c r="S427" s="211"/>
      <c r="T427" s="208"/>
      <c r="U427" s="208"/>
      <c r="V427" s="208"/>
      <c r="W427" s="208"/>
      <c r="X427" s="208"/>
      <c r="Y427" s="208"/>
      <c r="Z427" s="208"/>
    </row>
    <row r="428" spans="2:26" s="192" customFormat="1" ht="12">
      <c r="B428" s="208"/>
      <c r="C428" s="208"/>
      <c r="D428" s="208"/>
      <c r="E428" s="208"/>
      <c r="F428" s="208"/>
      <c r="G428" s="208"/>
      <c r="H428" s="208"/>
      <c r="I428" s="209"/>
      <c r="J428" s="209"/>
      <c r="K428" s="209"/>
      <c r="L428" s="209"/>
      <c r="M428" s="209"/>
      <c r="N428" s="209"/>
      <c r="O428" s="208"/>
      <c r="P428" s="208"/>
      <c r="Q428" s="208"/>
      <c r="R428" s="208"/>
      <c r="S428" s="211"/>
      <c r="T428" s="208"/>
      <c r="U428" s="208"/>
      <c r="V428" s="208"/>
      <c r="W428" s="208"/>
      <c r="X428" s="208"/>
      <c r="Y428" s="208"/>
      <c r="Z428" s="208"/>
    </row>
    <row r="429" spans="2:26" s="192" customFormat="1" ht="12">
      <c r="B429" s="208"/>
      <c r="C429" s="208"/>
      <c r="D429" s="208"/>
      <c r="E429" s="208"/>
      <c r="F429" s="208"/>
      <c r="G429" s="208"/>
      <c r="H429" s="208"/>
      <c r="I429" s="209"/>
      <c r="J429" s="209"/>
      <c r="K429" s="209"/>
      <c r="L429" s="209"/>
      <c r="M429" s="209"/>
      <c r="N429" s="209"/>
      <c r="O429" s="208"/>
      <c r="P429" s="208"/>
      <c r="Q429" s="208"/>
      <c r="R429" s="208"/>
      <c r="S429" s="211"/>
      <c r="T429" s="208"/>
      <c r="U429" s="208"/>
      <c r="V429" s="208"/>
      <c r="W429" s="208"/>
      <c r="X429" s="208"/>
      <c r="Y429" s="208"/>
      <c r="Z429" s="208"/>
    </row>
    <row r="430" spans="2:26" s="192" customFormat="1" ht="12">
      <c r="B430" s="208"/>
      <c r="C430" s="208"/>
      <c r="D430" s="208"/>
      <c r="E430" s="208"/>
      <c r="F430" s="208"/>
      <c r="G430" s="208"/>
      <c r="H430" s="208"/>
      <c r="I430" s="209"/>
      <c r="J430" s="209"/>
      <c r="K430" s="209"/>
      <c r="L430" s="209"/>
      <c r="M430" s="209"/>
      <c r="N430" s="209"/>
      <c r="O430" s="208"/>
      <c r="P430" s="208"/>
      <c r="Q430" s="208"/>
      <c r="R430" s="208"/>
      <c r="S430" s="211"/>
      <c r="T430" s="208"/>
      <c r="U430" s="208"/>
      <c r="V430" s="208"/>
      <c r="W430" s="208"/>
      <c r="X430" s="208"/>
      <c r="Y430" s="208"/>
      <c r="Z430" s="208"/>
    </row>
    <row r="431" spans="2:26" s="192" customFormat="1" ht="12">
      <c r="B431" s="208"/>
      <c r="C431" s="208"/>
      <c r="D431" s="208"/>
      <c r="E431" s="208"/>
      <c r="F431" s="208"/>
      <c r="G431" s="208"/>
      <c r="H431" s="208"/>
      <c r="I431" s="209"/>
      <c r="J431" s="209"/>
      <c r="K431" s="209"/>
      <c r="L431" s="209"/>
      <c r="M431" s="209"/>
      <c r="N431" s="209"/>
      <c r="O431" s="208"/>
      <c r="P431" s="208"/>
      <c r="Q431" s="208"/>
      <c r="R431" s="208"/>
      <c r="S431" s="211"/>
      <c r="T431" s="208"/>
      <c r="U431" s="208"/>
      <c r="V431" s="208"/>
      <c r="W431" s="208"/>
      <c r="X431" s="208"/>
      <c r="Y431" s="208"/>
      <c r="Z431" s="208"/>
    </row>
    <row r="432" spans="2:26" s="192" customFormat="1" ht="12">
      <c r="B432" s="208"/>
      <c r="C432" s="208"/>
      <c r="D432" s="208"/>
      <c r="E432" s="208"/>
      <c r="F432" s="208"/>
      <c r="G432" s="208"/>
      <c r="H432" s="208"/>
      <c r="I432" s="209"/>
      <c r="J432" s="209"/>
      <c r="K432" s="209"/>
      <c r="L432" s="209"/>
      <c r="M432" s="209"/>
      <c r="N432" s="209"/>
      <c r="O432" s="208"/>
      <c r="P432" s="208"/>
      <c r="Q432" s="208"/>
      <c r="R432" s="208"/>
      <c r="S432" s="211"/>
      <c r="T432" s="208"/>
      <c r="U432" s="208"/>
      <c r="V432" s="208"/>
      <c r="W432" s="208"/>
      <c r="X432" s="208"/>
      <c r="Y432" s="208"/>
      <c r="Z432" s="208"/>
    </row>
    <row r="433" spans="2:26" s="192" customFormat="1" ht="12">
      <c r="B433" s="208"/>
      <c r="C433" s="208"/>
      <c r="D433" s="208"/>
      <c r="E433" s="208"/>
      <c r="F433" s="208"/>
      <c r="G433" s="208"/>
      <c r="H433" s="208"/>
      <c r="I433" s="209"/>
      <c r="J433" s="209"/>
      <c r="K433" s="209"/>
      <c r="L433" s="209"/>
      <c r="M433" s="209"/>
      <c r="N433" s="209"/>
      <c r="O433" s="208"/>
      <c r="P433" s="208"/>
      <c r="Q433" s="208"/>
      <c r="R433" s="208"/>
      <c r="S433" s="211"/>
      <c r="T433" s="208"/>
      <c r="U433" s="208"/>
      <c r="V433" s="208"/>
      <c r="W433" s="208"/>
      <c r="X433" s="208"/>
      <c r="Y433" s="208"/>
      <c r="Z433" s="208"/>
    </row>
    <row r="434" spans="2:26" s="192" customFormat="1" ht="12">
      <c r="B434" s="208"/>
      <c r="C434" s="208"/>
      <c r="D434" s="208"/>
      <c r="E434" s="208"/>
      <c r="F434" s="208"/>
      <c r="G434" s="208"/>
      <c r="H434" s="208"/>
      <c r="I434" s="209"/>
      <c r="J434" s="209"/>
      <c r="K434" s="209"/>
      <c r="L434" s="209"/>
      <c r="M434" s="209"/>
      <c r="N434" s="209"/>
      <c r="O434" s="208"/>
      <c r="P434" s="208"/>
      <c r="Q434" s="208"/>
      <c r="R434" s="208"/>
      <c r="S434" s="211"/>
      <c r="T434" s="208"/>
      <c r="U434" s="208"/>
      <c r="V434" s="208"/>
      <c r="W434" s="208"/>
      <c r="X434" s="208"/>
      <c r="Y434" s="208"/>
      <c r="Z434" s="208"/>
    </row>
    <row r="435" spans="2:26" s="192" customFormat="1" ht="12">
      <c r="B435" s="208"/>
      <c r="C435" s="208"/>
      <c r="D435" s="208"/>
      <c r="E435" s="208"/>
      <c r="F435" s="208"/>
      <c r="G435" s="208"/>
      <c r="H435" s="208"/>
      <c r="I435" s="209"/>
      <c r="J435" s="209"/>
      <c r="K435" s="209"/>
      <c r="L435" s="209"/>
      <c r="M435" s="209"/>
      <c r="N435" s="209"/>
      <c r="O435" s="208"/>
      <c r="P435" s="208"/>
      <c r="Q435" s="208"/>
      <c r="R435" s="208"/>
      <c r="S435" s="211"/>
      <c r="T435" s="208"/>
      <c r="U435" s="208"/>
      <c r="V435" s="208"/>
      <c r="W435" s="208"/>
      <c r="X435" s="208"/>
      <c r="Y435" s="208"/>
      <c r="Z435" s="208"/>
    </row>
    <row r="436" spans="2:26" s="192" customFormat="1" ht="12">
      <c r="B436" s="208"/>
      <c r="C436" s="208"/>
      <c r="D436" s="208"/>
      <c r="E436" s="208"/>
      <c r="F436" s="208"/>
      <c r="G436" s="208"/>
      <c r="H436" s="208"/>
      <c r="I436" s="209"/>
      <c r="J436" s="209"/>
      <c r="K436" s="209"/>
      <c r="L436" s="209"/>
      <c r="M436" s="209"/>
      <c r="N436" s="209"/>
      <c r="O436" s="208"/>
      <c r="P436" s="208"/>
      <c r="Q436" s="208"/>
      <c r="R436" s="208"/>
      <c r="S436" s="211"/>
      <c r="T436" s="208"/>
      <c r="U436" s="208"/>
      <c r="V436" s="208"/>
      <c r="W436" s="208"/>
      <c r="X436" s="208"/>
      <c r="Y436" s="208"/>
      <c r="Z436" s="208"/>
    </row>
    <row r="437" spans="2:26" s="192" customFormat="1" ht="12">
      <c r="B437" s="208"/>
      <c r="C437" s="208"/>
      <c r="D437" s="208"/>
      <c r="E437" s="208"/>
      <c r="F437" s="208"/>
      <c r="G437" s="208"/>
      <c r="H437" s="208"/>
      <c r="I437" s="209"/>
      <c r="J437" s="209"/>
      <c r="K437" s="209"/>
      <c r="L437" s="209"/>
      <c r="M437" s="209"/>
      <c r="N437" s="209"/>
      <c r="O437" s="208"/>
      <c r="P437" s="208"/>
      <c r="Q437" s="208"/>
      <c r="R437" s="208"/>
      <c r="S437" s="211"/>
      <c r="T437" s="208"/>
      <c r="U437" s="208"/>
      <c r="V437" s="208"/>
      <c r="W437" s="208"/>
      <c r="X437" s="208"/>
      <c r="Y437" s="208"/>
      <c r="Z437" s="208"/>
    </row>
    <row r="438" spans="2:26" s="192" customFormat="1" ht="12">
      <c r="B438" s="208"/>
      <c r="C438" s="208"/>
      <c r="D438" s="208"/>
      <c r="E438" s="208"/>
      <c r="F438" s="208"/>
      <c r="G438" s="208"/>
      <c r="H438" s="208"/>
      <c r="I438" s="209"/>
      <c r="J438" s="209"/>
      <c r="K438" s="209"/>
      <c r="L438" s="209"/>
      <c r="M438" s="209"/>
      <c r="N438" s="209"/>
      <c r="O438" s="208"/>
      <c r="P438" s="208"/>
      <c r="Q438" s="208"/>
      <c r="R438" s="208"/>
      <c r="S438" s="211"/>
      <c r="T438" s="208"/>
      <c r="U438" s="208"/>
      <c r="V438" s="208"/>
      <c r="W438" s="208"/>
      <c r="X438" s="208"/>
      <c r="Y438" s="208"/>
      <c r="Z438" s="208"/>
    </row>
    <row r="439" spans="2:26" s="192" customFormat="1" ht="12">
      <c r="B439" s="208"/>
      <c r="C439" s="208"/>
      <c r="D439" s="208"/>
      <c r="E439" s="208"/>
      <c r="F439" s="208"/>
      <c r="G439" s="208"/>
      <c r="H439" s="208"/>
      <c r="I439" s="209"/>
      <c r="J439" s="209"/>
      <c r="K439" s="209"/>
      <c r="L439" s="209"/>
      <c r="M439" s="209"/>
      <c r="N439" s="209"/>
      <c r="O439" s="208"/>
      <c r="P439" s="208"/>
      <c r="Q439" s="208"/>
      <c r="R439" s="208"/>
      <c r="S439" s="211"/>
      <c r="T439" s="208"/>
      <c r="U439" s="208"/>
      <c r="V439" s="208"/>
      <c r="W439" s="208"/>
      <c r="X439" s="208"/>
      <c r="Y439" s="208"/>
      <c r="Z439" s="208"/>
    </row>
    <row r="440" spans="2:26" s="192" customFormat="1" ht="12">
      <c r="B440" s="208"/>
      <c r="C440" s="208"/>
      <c r="D440" s="208"/>
      <c r="E440" s="208"/>
      <c r="F440" s="208"/>
      <c r="G440" s="208"/>
      <c r="H440" s="208"/>
      <c r="I440" s="209"/>
      <c r="J440" s="209"/>
      <c r="K440" s="209"/>
      <c r="L440" s="209"/>
      <c r="M440" s="209"/>
      <c r="N440" s="209"/>
      <c r="O440" s="208"/>
      <c r="P440" s="208"/>
      <c r="Q440" s="208"/>
      <c r="R440" s="208"/>
      <c r="S440" s="211"/>
      <c r="T440" s="208"/>
      <c r="U440" s="208"/>
      <c r="V440" s="208"/>
      <c r="W440" s="208"/>
      <c r="X440" s="208"/>
      <c r="Y440" s="208"/>
      <c r="Z440" s="208"/>
    </row>
    <row r="441" spans="2:26" s="192" customFormat="1" ht="12">
      <c r="B441" s="208"/>
      <c r="C441" s="208"/>
      <c r="D441" s="208"/>
      <c r="E441" s="208"/>
      <c r="F441" s="208"/>
      <c r="G441" s="208"/>
      <c r="H441" s="208"/>
      <c r="I441" s="209"/>
      <c r="J441" s="209"/>
      <c r="K441" s="209"/>
      <c r="L441" s="209"/>
      <c r="M441" s="209"/>
      <c r="N441" s="209"/>
      <c r="O441" s="208"/>
      <c r="P441" s="208"/>
      <c r="Q441" s="208"/>
      <c r="R441" s="208"/>
      <c r="S441" s="211"/>
      <c r="T441" s="208"/>
      <c r="U441" s="208"/>
      <c r="V441" s="208"/>
      <c r="W441" s="208"/>
      <c r="X441" s="208"/>
      <c r="Y441" s="208"/>
      <c r="Z441" s="208"/>
    </row>
    <row r="442" spans="2:26" s="192" customFormat="1" ht="12">
      <c r="B442" s="208"/>
      <c r="C442" s="208"/>
      <c r="D442" s="208"/>
      <c r="E442" s="208"/>
      <c r="F442" s="208"/>
      <c r="G442" s="208"/>
      <c r="H442" s="208"/>
      <c r="I442" s="209"/>
      <c r="J442" s="209"/>
      <c r="K442" s="209"/>
      <c r="L442" s="209"/>
      <c r="M442" s="209"/>
      <c r="N442" s="209"/>
      <c r="O442" s="208"/>
      <c r="P442" s="208"/>
      <c r="Q442" s="208"/>
      <c r="R442" s="208"/>
      <c r="S442" s="211"/>
      <c r="T442" s="208"/>
      <c r="U442" s="208"/>
      <c r="V442" s="208"/>
      <c r="W442" s="208"/>
      <c r="X442" s="208"/>
      <c r="Y442" s="208"/>
      <c r="Z442" s="208"/>
    </row>
    <row r="443" spans="2:26" s="192" customFormat="1" ht="12">
      <c r="B443" s="208"/>
      <c r="C443" s="208"/>
      <c r="D443" s="208"/>
      <c r="E443" s="208"/>
      <c r="F443" s="208"/>
      <c r="G443" s="208"/>
      <c r="H443" s="208"/>
      <c r="I443" s="209"/>
      <c r="J443" s="209"/>
      <c r="K443" s="209"/>
      <c r="L443" s="209"/>
      <c r="M443" s="209"/>
      <c r="N443" s="209"/>
      <c r="O443" s="208"/>
      <c r="P443" s="208"/>
      <c r="Q443" s="208"/>
      <c r="R443" s="208"/>
      <c r="S443" s="211"/>
      <c r="T443" s="208"/>
      <c r="U443" s="208"/>
      <c r="V443" s="208"/>
      <c r="W443" s="208"/>
      <c r="X443" s="208"/>
      <c r="Y443" s="208"/>
      <c r="Z443" s="208"/>
    </row>
    <row r="444" spans="2:26" s="192" customFormat="1" ht="12">
      <c r="B444" s="208"/>
      <c r="C444" s="208"/>
      <c r="D444" s="208"/>
      <c r="E444" s="208"/>
      <c r="F444" s="208"/>
      <c r="G444" s="208"/>
      <c r="H444" s="208"/>
      <c r="I444" s="209"/>
      <c r="J444" s="209"/>
      <c r="K444" s="209"/>
      <c r="L444" s="209"/>
      <c r="M444" s="209"/>
      <c r="N444" s="209"/>
      <c r="O444" s="208"/>
      <c r="P444" s="208"/>
      <c r="Q444" s="208"/>
      <c r="R444" s="208"/>
      <c r="S444" s="211"/>
      <c r="T444" s="208"/>
      <c r="U444" s="208"/>
      <c r="V444" s="208"/>
      <c r="W444" s="208"/>
      <c r="X444" s="208"/>
      <c r="Y444" s="208"/>
      <c r="Z444" s="208"/>
    </row>
    <row r="445" spans="2:26" s="192" customFormat="1" ht="12">
      <c r="B445" s="208"/>
      <c r="C445" s="208"/>
      <c r="D445" s="208"/>
      <c r="E445" s="208"/>
      <c r="F445" s="208"/>
      <c r="G445" s="208"/>
      <c r="H445" s="208"/>
      <c r="I445" s="209"/>
      <c r="J445" s="209"/>
      <c r="K445" s="209"/>
      <c r="L445" s="209"/>
      <c r="M445" s="209"/>
      <c r="N445" s="209"/>
      <c r="O445" s="208"/>
      <c r="P445" s="208"/>
      <c r="Q445" s="208"/>
      <c r="R445" s="208"/>
      <c r="S445" s="211"/>
      <c r="T445" s="208"/>
      <c r="U445" s="208"/>
      <c r="V445" s="208"/>
      <c r="W445" s="208"/>
      <c r="X445" s="208"/>
      <c r="Y445" s="208"/>
      <c r="Z445" s="208"/>
    </row>
    <row r="446" spans="2:26" s="192" customFormat="1" ht="12">
      <c r="B446" s="208"/>
      <c r="C446" s="208"/>
      <c r="D446" s="208"/>
      <c r="E446" s="208"/>
      <c r="F446" s="208"/>
      <c r="G446" s="208"/>
      <c r="H446" s="208"/>
      <c r="I446" s="209"/>
      <c r="J446" s="209"/>
      <c r="K446" s="209"/>
      <c r="L446" s="209"/>
      <c r="M446" s="209"/>
      <c r="N446" s="209"/>
      <c r="O446" s="208"/>
      <c r="P446" s="208"/>
      <c r="Q446" s="208"/>
      <c r="R446" s="208"/>
      <c r="S446" s="211"/>
      <c r="T446" s="208"/>
      <c r="U446" s="208"/>
      <c r="V446" s="208"/>
      <c r="W446" s="208"/>
      <c r="X446" s="208"/>
      <c r="Y446" s="208"/>
      <c r="Z446" s="208"/>
    </row>
    <row r="447" spans="2:26" s="192" customFormat="1" ht="12">
      <c r="B447" s="208"/>
      <c r="C447" s="208"/>
      <c r="D447" s="208"/>
      <c r="E447" s="208"/>
      <c r="F447" s="208"/>
      <c r="G447" s="208"/>
      <c r="H447" s="208"/>
      <c r="I447" s="209"/>
      <c r="J447" s="209"/>
      <c r="K447" s="209"/>
      <c r="L447" s="209"/>
      <c r="M447" s="209"/>
      <c r="N447" s="209"/>
      <c r="O447" s="208"/>
      <c r="P447" s="208"/>
      <c r="Q447" s="208"/>
      <c r="R447" s="208"/>
      <c r="S447" s="211"/>
      <c r="T447" s="208"/>
      <c r="U447" s="208"/>
      <c r="V447" s="208"/>
      <c r="W447" s="208"/>
      <c r="X447" s="208"/>
      <c r="Y447" s="208"/>
      <c r="Z447" s="208"/>
    </row>
    <row r="448" spans="2:26" s="192" customFormat="1" ht="12">
      <c r="B448" s="208"/>
      <c r="C448" s="208"/>
      <c r="D448" s="208"/>
      <c r="E448" s="208"/>
      <c r="F448" s="208"/>
      <c r="G448" s="208"/>
      <c r="H448" s="208"/>
      <c r="I448" s="209"/>
      <c r="J448" s="209"/>
      <c r="K448" s="209"/>
      <c r="L448" s="209"/>
      <c r="M448" s="209"/>
      <c r="N448" s="209"/>
      <c r="O448" s="208"/>
      <c r="P448" s="208"/>
      <c r="Q448" s="208"/>
      <c r="R448" s="208"/>
      <c r="S448" s="211"/>
      <c r="T448" s="208"/>
      <c r="U448" s="208"/>
      <c r="V448" s="208"/>
      <c r="W448" s="208"/>
      <c r="X448" s="208"/>
      <c r="Y448" s="208"/>
      <c r="Z448" s="208"/>
    </row>
    <row r="449" spans="1:26" s="192" customFormat="1" ht="12">
      <c r="B449" s="208"/>
      <c r="C449" s="208"/>
      <c r="D449" s="208"/>
      <c r="E449" s="208"/>
      <c r="F449" s="208"/>
      <c r="G449" s="208"/>
      <c r="H449" s="208"/>
      <c r="I449" s="209"/>
      <c r="J449" s="209"/>
      <c r="K449" s="209"/>
      <c r="L449" s="209"/>
      <c r="M449" s="209"/>
      <c r="N449" s="209"/>
      <c r="O449" s="208"/>
      <c r="P449" s="208"/>
      <c r="Q449" s="208"/>
      <c r="R449" s="208"/>
      <c r="S449" s="211"/>
      <c r="T449" s="208"/>
      <c r="U449" s="208"/>
      <c r="V449" s="208"/>
      <c r="W449" s="208"/>
      <c r="X449" s="208"/>
      <c r="Y449" s="208"/>
      <c r="Z449" s="208"/>
    </row>
    <row r="450" spans="1:26" s="192" customFormat="1" ht="12">
      <c r="B450" s="208"/>
      <c r="C450" s="208"/>
      <c r="D450" s="208"/>
      <c r="E450" s="208"/>
      <c r="F450" s="208"/>
      <c r="G450" s="208"/>
      <c r="H450" s="208"/>
      <c r="I450" s="209"/>
      <c r="J450" s="209"/>
      <c r="K450" s="209"/>
      <c r="L450" s="209"/>
      <c r="M450" s="209"/>
      <c r="N450" s="209"/>
      <c r="O450" s="208"/>
      <c r="P450" s="208"/>
      <c r="Q450" s="208"/>
      <c r="R450" s="208"/>
      <c r="S450" s="211"/>
      <c r="T450" s="208"/>
      <c r="U450" s="208"/>
      <c r="V450" s="208"/>
      <c r="W450" s="208"/>
      <c r="X450" s="208"/>
      <c r="Y450" s="208"/>
      <c r="Z450" s="208"/>
    </row>
    <row r="451" spans="1:26" s="192" customFormat="1" ht="12">
      <c r="B451" s="208"/>
      <c r="C451" s="208"/>
      <c r="D451" s="208"/>
      <c r="E451" s="208"/>
      <c r="F451" s="208"/>
      <c r="G451" s="208"/>
      <c r="H451" s="208"/>
      <c r="I451" s="209"/>
      <c r="J451" s="209"/>
      <c r="K451" s="209"/>
      <c r="L451" s="209"/>
      <c r="M451" s="209"/>
      <c r="N451" s="209"/>
      <c r="O451" s="208"/>
      <c r="P451" s="208"/>
      <c r="Q451" s="208"/>
      <c r="R451" s="208"/>
      <c r="S451" s="211"/>
      <c r="T451" s="208"/>
      <c r="U451" s="208"/>
      <c r="V451" s="208"/>
      <c r="W451" s="208"/>
      <c r="X451" s="208"/>
      <c r="Y451" s="208"/>
      <c r="Z451" s="208"/>
    </row>
    <row r="452" spans="1:26" s="192" customFormat="1" ht="12">
      <c r="B452" s="208"/>
      <c r="C452" s="208"/>
      <c r="D452" s="208"/>
      <c r="E452" s="208"/>
      <c r="F452" s="208"/>
      <c r="G452" s="208"/>
      <c r="H452" s="208"/>
      <c r="I452" s="209"/>
      <c r="J452" s="209"/>
      <c r="K452" s="209"/>
      <c r="L452" s="209"/>
      <c r="M452" s="209"/>
      <c r="N452" s="209"/>
      <c r="O452" s="208"/>
      <c r="P452" s="208"/>
      <c r="Q452" s="208"/>
      <c r="R452" s="208"/>
      <c r="S452" s="211"/>
      <c r="T452" s="208"/>
      <c r="U452" s="208"/>
      <c r="V452" s="208"/>
      <c r="W452" s="208"/>
      <c r="X452" s="208"/>
      <c r="Y452" s="208"/>
      <c r="Z452" s="208"/>
    </row>
    <row r="453" spans="1:26" s="192" customFormat="1" ht="12">
      <c r="B453" s="208"/>
      <c r="C453" s="208"/>
      <c r="D453" s="208"/>
      <c r="E453" s="208"/>
      <c r="F453" s="208"/>
      <c r="G453" s="208"/>
      <c r="H453" s="208"/>
      <c r="I453" s="209"/>
      <c r="J453" s="209"/>
      <c r="K453" s="209"/>
      <c r="L453" s="209"/>
      <c r="M453" s="209"/>
      <c r="N453" s="209"/>
      <c r="O453" s="208"/>
      <c r="P453" s="208"/>
      <c r="Q453" s="208"/>
      <c r="R453" s="208"/>
      <c r="S453" s="211"/>
      <c r="T453" s="208"/>
      <c r="U453" s="208"/>
      <c r="V453" s="208"/>
      <c r="W453" s="208"/>
      <c r="X453" s="208"/>
      <c r="Y453" s="208"/>
      <c r="Z453" s="208"/>
    </row>
    <row r="454" spans="1:26" s="192" customFormat="1" ht="12">
      <c r="B454" s="208"/>
      <c r="C454" s="208"/>
      <c r="D454" s="208"/>
      <c r="E454" s="208"/>
      <c r="F454" s="208"/>
      <c r="G454" s="208"/>
      <c r="H454" s="208"/>
      <c r="I454" s="209"/>
      <c r="J454" s="209"/>
      <c r="K454" s="209"/>
      <c r="L454" s="209"/>
      <c r="M454" s="209"/>
      <c r="N454" s="209"/>
      <c r="O454" s="208"/>
      <c r="P454" s="208"/>
      <c r="Q454" s="208"/>
      <c r="R454" s="208"/>
      <c r="S454" s="211"/>
      <c r="T454" s="208"/>
      <c r="U454" s="208"/>
      <c r="V454" s="208"/>
      <c r="W454" s="208"/>
      <c r="X454" s="208"/>
      <c r="Y454" s="208"/>
      <c r="Z454" s="208"/>
    </row>
    <row r="455" spans="1:26">
      <c r="A455" s="192"/>
      <c r="B455" s="208"/>
      <c r="C455" s="208"/>
      <c r="D455" s="208"/>
      <c r="E455" s="208"/>
      <c r="F455" s="208"/>
      <c r="G455" s="208"/>
      <c r="H455" s="208"/>
      <c r="I455" s="209"/>
      <c r="J455" s="209"/>
      <c r="K455" s="209"/>
      <c r="L455" s="209"/>
      <c r="M455" s="209"/>
      <c r="N455" s="209"/>
      <c r="O455" s="208"/>
      <c r="P455" s="208"/>
      <c r="Q455" s="208"/>
      <c r="R455" s="208"/>
      <c r="S455" s="211"/>
      <c r="T455" s="208"/>
      <c r="U455" s="208"/>
      <c r="V455" s="208"/>
      <c r="W455" s="208"/>
      <c r="X455" s="208"/>
      <c r="Y455" s="208"/>
    </row>
    <row r="456" spans="1:26">
      <c r="A456" s="192"/>
      <c r="B456" s="208"/>
      <c r="C456" s="208"/>
      <c r="D456" s="208"/>
      <c r="E456" s="208"/>
      <c r="F456" s="208"/>
      <c r="G456" s="208"/>
      <c r="H456" s="208"/>
      <c r="I456" s="209"/>
      <c r="J456" s="209"/>
      <c r="K456" s="209"/>
      <c r="L456" s="209"/>
      <c r="M456" s="209"/>
      <c r="N456" s="209"/>
      <c r="O456" s="208"/>
      <c r="P456" s="208"/>
      <c r="Q456" s="208"/>
      <c r="R456" s="208"/>
      <c r="S456" s="211"/>
      <c r="T456" s="208"/>
      <c r="U456" s="208"/>
      <c r="V456" s="208"/>
      <c r="W456" s="208"/>
      <c r="X456" s="208"/>
      <c r="Y456" s="208"/>
    </row>
    <row r="457" spans="1:26">
      <c r="A457" s="192"/>
      <c r="B457" s="208"/>
      <c r="C457" s="208"/>
      <c r="D457" s="208"/>
      <c r="E457" s="208"/>
      <c r="F457" s="208"/>
      <c r="G457" s="208"/>
      <c r="H457" s="208"/>
      <c r="I457" s="209"/>
      <c r="J457" s="209"/>
      <c r="K457" s="209"/>
      <c r="L457" s="209"/>
      <c r="M457" s="209"/>
      <c r="N457" s="209"/>
      <c r="O457" s="208"/>
      <c r="P457" s="208"/>
      <c r="Q457" s="208"/>
      <c r="R457" s="208"/>
      <c r="S457" s="211"/>
      <c r="T457" s="208"/>
      <c r="U457" s="208"/>
      <c r="V457" s="208"/>
      <c r="W457" s="208"/>
      <c r="X457" s="208"/>
      <c r="Y457" s="208"/>
    </row>
    <row r="458" spans="1:26">
      <c r="A458" s="192"/>
      <c r="B458" s="208"/>
      <c r="C458" s="208"/>
      <c r="D458" s="208"/>
      <c r="E458" s="208"/>
      <c r="F458" s="208"/>
      <c r="G458" s="208"/>
      <c r="H458" s="208"/>
      <c r="I458" s="209"/>
      <c r="J458" s="209"/>
      <c r="K458" s="209"/>
      <c r="L458" s="209"/>
      <c r="M458" s="209"/>
      <c r="N458" s="209"/>
      <c r="O458" s="208"/>
      <c r="P458" s="208"/>
      <c r="Q458" s="208"/>
      <c r="R458" s="208"/>
      <c r="S458" s="211"/>
      <c r="T458" s="208"/>
      <c r="U458" s="208"/>
      <c r="V458" s="208"/>
      <c r="W458" s="208"/>
      <c r="X458" s="208"/>
      <c r="Y458" s="208"/>
    </row>
    <row r="459" spans="1:26">
      <c r="A459" s="192"/>
      <c r="B459" s="208"/>
      <c r="C459" s="208"/>
      <c r="D459" s="208"/>
      <c r="E459" s="208"/>
      <c r="F459" s="208"/>
      <c r="G459" s="208"/>
      <c r="H459" s="208"/>
      <c r="I459" s="209"/>
      <c r="J459" s="209"/>
      <c r="K459" s="209"/>
      <c r="L459" s="209"/>
      <c r="M459" s="209"/>
      <c r="N459" s="209"/>
      <c r="O459" s="208"/>
      <c r="P459" s="208"/>
      <c r="Q459" s="208"/>
      <c r="R459" s="208"/>
      <c r="S459" s="211"/>
      <c r="T459" s="208"/>
      <c r="U459" s="208"/>
      <c r="V459" s="208"/>
      <c r="W459" s="208"/>
      <c r="X459" s="208"/>
      <c r="Y459" s="208"/>
    </row>
    <row r="460" spans="1:26">
      <c r="A460" s="192"/>
      <c r="B460" s="208"/>
      <c r="C460" s="208"/>
      <c r="D460" s="208"/>
      <c r="E460" s="208"/>
      <c r="F460" s="208"/>
      <c r="G460" s="208"/>
      <c r="H460" s="208"/>
      <c r="I460" s="209"/>
      <c r="J460" s="209"/>
      <c r="K460" s="209"/>
      <c r="L460" s="209"/>
      <c r="M460" s="209"/>
      <c r="N460" s="209"/>
      <c r="O460" s="208"/>
      <c r="P460" s="208"/>
      <c r="Q460" s="208"/>
      <c r="R460" s="208"/>
      <c r="S460" s="211"/>
      <c r="T460" s="208"/>
      <c r="U460" s="208"/>
      <c r="V460" s="208"/>
      <c r="W460" s="208"/>
      <c r="X460" s="208"/>
      <c r="Y460" s="208"/>
    </row>
    <row r="461" spans="1:26">
      <c r="A461" s="192"/>
      <c r="B461" s="208"/>
      <c r="C461" s="208"/>
      <c r="D461" s="208"/>
      <c r="E461" s="208"/>
      <c r="F461" s="208"/>
      <c r="G461" s="208"/>
      <c r="H461" s="208"/>
      <c r="I461" s="209"/>
      <c r="J461" s="209"/>
      <c r="K461" s="209"/>
      <c r="L461" s="209"/>
      <c r="M461" s="209"/>
      <c r="N461" s="209"/>
      <c r="O461" s="208"/>
      <c r="P461" s="208"/>
      <c r="Q461" s="208"/>
      <c r="R461" s="208"/>
      <c r="S461" s="211"/>
      <c r="T461" s="208"/>
      <c r="U461" s="208"/>
      <c r="V461" s="208"/>
      <c r="W461" s="208"/>
      <c r="X461" s="208"/>
      <c r="Y461" s="208"/>
    </row>
    <row r="462" spans="1:26">
      <c r="A462" s="192"/>
      <c r="B462" s="208"/>
      <c r="C462" s="208"/>
      <c r="D462" s="208"/>
      <c r="E462" s="208"/>
      <c r="F462" s="208"/>
      <c r="G462" s="208"/>
      <c r="H462" s="208"/>
      <c r="I462" s="209"/>
      <c r="J462" s="209"/>
      <c r="K462" s="209"/>
      <c r="L462" s="209"/>
      <c r="M462" s="209"/>
      <c r="N462" s="209"/>
      <c r="O462" s="208"/>
      <c r="P462" s="208"/>
      <c r="Q462" s="208"/>
      <c r="R462" s="208"/>
      <c r="S462" s="211"/>
      <c r="T462" s="208"/>
      <c r="U462" s="208"/>
      <c r="V462" s="208"/>
      <c r="W462" s="208"/>
      <c r="X462" s="208"/>
      <c r="Y462" s="208"/>
    </row>
    <row r="463" spans="1:26">
      <c r="A463" s="192"/>
      <c r="B463" s="208"/>
      <c r="C463" s="208"/>
      <c r="D463" s="208"/>
      <c r="E463" s="208"/>
      <c r="F463" s="208"/>
      <c r="G463" s="208"/>
      <c r="H463" s="208"/>
      <c r="I463" s="209"/>
      <c r="J463" s="209"/>
      <c r="K463" s="209"/>
      <c r="L463" s="209"/>
      <c r="M463" s="209"/>
      <c r="N463" s="209"/>
      <c r="O463" s="208"/>
      <c r="P463" s="208"/>
      <c r="Q463" s="208"/>
      <c r="R463" s="208"/>
      <c r="S463" s="211"/>
      <c r="T463" s="208"/>
      <c r="U463" s="208"/>
      <c r="V463" s="208"/>
      <c r="W463" s="208"/>
      <c r="X463" s="208"/>
      <c r="Y463" s="208"/>
    </row>
    <row r="464" spans="1:26">
      <c r="A464" s="192"/>
      <c r="B464" s="208"/>
      <c r="C464" s="208"/>
      <c r="D464" s="208"/>
      <c r="E464" s="208"/>
      <c r="F464" s="208"/>
      <c r="G464" s="208"/>
      <c r="H464" s="208"/>
      <c r="I464" s="209"/>
      <c r="J464" s="209"/>
      <c r="K464" s="209"/>
      <c r="L464" s="209"/>
      <c r="M464" s="209"/>
      <c r="N464" s="209"/>
      <c r="O464" s="208"/>
      <c r="P464" s="208"/>
      <c r="Q464" s="208"/>
      <c r="R464" s="208"/>
      <c r="S464" s="211"/>
      <c r="T464" s="208"/>
      <c r="U464" s="208"/>
      <c r="V464" s="208"/>
      <c r="W464" s="208"/>
      <c r="X464" s="208"/>
      <c r="Y464" s="208"/>
    </row>
    <row r="465" spans="1:25">
      <c r="A465" s="192"/>
      <c r="B465" s="208"/>
      <c r="C465" s="208"/>
      <c r="D465" s="208"/>
      <c r="E465" s="208"/>
      <c r="F465" s="208"/>
      <c r="G465" s="208"/>
      <c r="H465" s="208"/>
      <c r="I465" s="209"/>
      <c r="J465" s="209"/>
      <c r="K465" s="209"/>
      <c r="L465" s="209"/>
      <c r="M465" s="209"/>
      <c r="N465" s="209"/>
      <c r="O465" s="208"/>
      <c r="P465" s="208"/>
      <c r="Q465" s="208"/>
      <c r="R465" s="208"/>
      <c r="S465" s="211"/>
      <c r="T465" s="208"/>
      <c r="U465" s="208"/>
      <c r="V465" s="208"/>
      <c r="W465" s="208"/>
      <c r="X465" s="208"/>
      <c r="Y465" s="208"/>
    </row>
    <row r="466" spans="1:25">
      <c r="A466" s="192"/>
      <c r="B466" s="208"/>
      <c r="C466" s="208"/>
      <c r="D466" s="208"/>
      <c r="E466" s="208"/>
      <c r="F466" s="208"/>
      <c r="G466" s="208"/>
      <c r="H466" s="208"/>
      <c r="I466" s="209"/>
      <c r="J466" s="209"/>
      <c r="K466" s="209"/>
      <c r="L466" s="209"/>
      <c r="M466" s="209"/>
      <c r="N466" s="209"/>
      <c r="O466" s="208"/>
      <c r="P466" s="208"/>
      <c r="Q466" s="208"/>
      <c r="R466" s="208"/>
      <c r="S466" s="211"/>
      <c r="T466" s="208"/>
      <c r="U466" s="208"/>
      <c r="V466" s="208"/>
      <c r="W466" s="208"/>
      <c r="X466" s="208"/>
      <c r="Y466" s="208"/>
    </row>
    <row r="467" spans="1:25">
      <c r="A467" s="192"/>
      <c r="B467" s="208"/>
      <c r="C467" s="208"/>
      <c r="D467" s="208"/>
      <c r="E467" s="208"/>
      <c r="F467" s="208"/>
      <c r="G467" s="208"/>
      <c r="H467" s="208"/>
      <c r="I467" s="209"/>
      <c r="J467" s="209"/>
      <c r="K467" s="209"/>
      <c r="L467" s="209"/>
      <c r="M467" s="209"/>
      <c r="N467" s="209"/>
      <c r="O467" s="208"/>
      <c r="P467" s="208"/>
      <c r="Q467" s="208"/>
      <c r="R467" s="208"/>
      <c r="S467" s="211"/>
      <c r="T467" s="208"/>
      <c r="U467" s="208"/>
      <c r="V467" s="208"/>
      <c r="W467" s="208"/>
      <c r="X467" s="208"/>
      <c r="Y467" s="208"/>
    </row>
  </sheetData>
  <mergeCells count="2">
    <mergeCell ref="A2:C2"/>
    <mergeCell ref="A31:H31"/>
  </mergeCells>
  <dataValidations count="1">
    <dataValidation type="whole" allowBlank="1" showInputMessage="1" showErrorMessage="1" sqref="Q29:Q30" xr:uid="{96BFF8CF-5500-4245-B339-77FE609183A3}">
      <formula1>0</formula1>
      <formula2>5000</formula2>
    </dataValidation>
  </dataValidations>
  <pageMargins left="0.2" right="0.2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6"/>
  <sheetViews>
    <sheetView showGridLines="0" zoomScale="65" zoomScaleNormal="65" workbookViewId="0">
      <selection activeCell="B10" sqref="B10"/>
    </sheetView>
  </sheetViews>
  <sheetFormatPr defaultColWidth="8.7265625" defaultRowHeight="15" customHeight="1" outlineLevelRow="1"/>
  <cols>
    <col min="1" max="1" width="46" customWidth="1"/>
    <col min="2" max="2" width="28" customWidth="1"/>
    <col min="3" max="3" width="64" customWidth="1"/>
    <col min="4" max="4" width="42" customWidth="1"/>
    <col min="5" max="5" width="38" customWidth="1"/>
  </cols>
  <sheetData>
    <row r="1" spans="1:5" ht="25.5" customHeight="1">
      <c r="A1" s="156" t="s">
        <v>67</v>
      </c>
      <c r="B1" s="147"/>
      <c r="C1" s="147"/>
      <c r="D1" s="147"/>
      <c r="E1" s="147"/>
    </row>
    <row r="2" spans="1:5" ht="18" customHeight="1"/>
    <row r="3" spans="1:5" ht="18" customHeight="1">
      <c r="A3" s="155" t="s">
        <v>68</v>
      </c>
      <c r="B3" s="147"/>
      <c r="C3" s="147"/>
      <c r="D3" s="147"/>
      <c r="E3" s="147"/>
    </row>
    <row r="4" spans="1:5" ht="18" customHeight="1">
      <c r="A4" s="3" t="s">
        <v>2</v>
      </c>
      <c r="B4" s="4" t="s">
        <v>216</v>
      </c>
      <c r="C4" s="5" t="s">
        <v>69</v>
      </c>
    </row>
    <row r="5" spans="1:5" ht="18" customHeight="1">
      <c r="A5" s="3" t="s">
        <v>70</v>
      </c>
      <c r="B5" s="4"/>
    </row>
    <row r="6" spans="1:5" ht="18" customHeight="1">
      <c r="A6" s="3" t="s">
        <v>44</v>
      </c>
      <c r="B6" s="4" t="s">
        <v>47</v>
      </c>
    </row>
    <row r="7" spans="1:5" ht="18" customHeight="1">
      <c r="A7" s="3" t="s">
        <v>71</v>
      </c>
      <c r="B7" s="6">
        <v>46115</v>
      </c>
    </row>
    <row r="8" spans="1:5" ht="18" customHeight="1">
      <c r="A8" s="3" t="s">
        <v>72</v>
      </c>
      <c r="B8" s="7">
        <f>SOV!N31</f>
        <v>44764966</v>
      </c>
      <c r="C8" s="1" t="str">
        <f>IFERROR("← enter "  &amp; TEXT(YEAR(B7)+IF(MONTH(B7)&gt;=7,1,0),"0") &amp; " revenue","← enter prospective year revenue")</f>
        <v>← enter 2026 revenue</v>
      </c>
    </row>
    <row r="9" spans="1:5" ht="18" customHeight="1">
      <c r="A9" s="3" t="s">
        <v>73</v>
      </c>
      <c r="B9" s="7">
        <v>189000</v>
      </c>
    </row>
    <row r="10" spans="1:5" ht="18" customHeight="1">
      <c r="A10" s="8" t="s">
        <v>74</v>
      </c>
      <c r="B10" s="9">
        <v>10000</v>
      </c>
      <c r="C10" s="10" t="s">
        <v>75</v>
      </c>
    </row>
    <row r="11" spans="1:5" ht="18" customHeight="1">
      <c r="A11" s="155" t="s">
        <v>76</v>
      </c>
      <c r="B11" s="147"/>
      <c r="C11" s="147"/>
      <c r="D11" s="147"/>
      <c r="E11" s="147"/>
    </row>
    <row r="12" spans="1:5" ht="18" customHeight="1">
      <c r="A12" s="3" t="s">
        <v>77</v>
      </c>
      <c r="B12" s="11" t="s">
        <v>78</v>
      </c>
    </row>
    <row r="13" spans="1:5" ht="18" customHeight="1"/>
    <row r="14" spans="1:5" ht="18" customHeight="1">
      <c r="A14" s="155" t="s">
        <v>79</v>
      </c>
      <c r="B14" s="147"/>
      <c r="C14" s="147"/>
      <c r="D14" s="147"/>
      <c r="E14" s="147"/>
    </row>
    <row r="15" spans="1:5" ht="18" customHeight="1">
      <c r="A15" s="3" t="s">
        <v>80</v>
      </c>
      <c r="B15" s="11" t="s">
        <v>81</v>
      </c>
    </row>
    <row r="16" spans="1:5" ht="18" customHeight="1">
      <c r="A16" s="3" t="s">
        <v>82</v>
      </c>
      <c r="B16" s="12">
        <v>0.5</v>
      </c>
    </row>
    <row r="17" spans="1:5" ht="18" customHeight="1">
      <c r="A17" s="3" t="s">
        <v>83</v>
      </c>
      <c r="B17" s="12">
        <v>0.5</v>
      </c>
    </row>
    <row r="18" spans="1:5" ht="18" customHeight="1"/>
    <row r="19" spans="1:5" ht="18" customHeight="1">
      <c r="A19" s="1" t="s">
        <v>84</v>
      </c>
      <c r="C19" s="13"/>
    </row>
    <row r="20" spans="1:5" ht="18" customHeight="1">
      <c r="A20" s="14" t="s">
        <v>85</v>
      </c>
      <c r="B20" s="14" t="s">
        <v>86</v>
      </c>
      <c r="C20" s="14" t="s">
        <v>87</v>
      </c>
      <c r="D20" s="15" t="s">
        <v>88</v>
      </c>
    </row>
    <row r="21" spans="1:5" ht="19.5" customHeight="1">
      <c r="A21" s="16" t="s">
        <v>81</v>
      </c>
      <c r="B21" s="17">
        <v>1.4950000000000001</v>
      </c>
      <c r="C21" s="18">
        <f>IFERROR($B$25*B21,0)</f>
        <v>1.6564600000000003</v>
      </c>
      <c r="D21" s="19" t="s">
        <v>89</v>
      </c>
    </row>
    <row r="22" spans="1:5" ht="27.75" customHeight="1">
      <c r="A22" s="16" t="s">
        <v>90</v>
      </c>
      <c r="B22" s="20"/>
      <c r="C22" s="18">
        <f>IFERROR($B$25*B22,0)</f>
        <v>0</v>
      </c>
      <c r="D22" s="19" t="s">
        <v>91</v>
      </c>
      <c r="E22" s="21" t="str">
        <f>IF(AND(B22="",$B$15="$250K"),"⚠ Enter $250K XS rate above","")</f>
        <v/>
      </c>
    </row>
    <row r="23" spans="1:5" ht="27.75" customHeight="1">
      <c r="A23" s="16" t="s">
        <v>92</v>
      </c>
      <c r="B23" s="20"/>
      <c r="C23" s="18">
        <f>IFERROR($B$25*B23,0)</f>
        <v>0</v>
      </c>
      <c r="D23" s="19" t="s">
        <v>91</v>
      </c>
      <c r="E23" s="21" t="str">
        <f>IF(AND(B23="",$B$15="$500K"),"⚠ Enter $500K XS rate above","")</f>
        <v/>
      </c>
    </row>
    <row r="24" spans="1:5" ht="19.5" customHeight="1">
      <c r="A24" s="16" t="s">
        <v>93</v>
      </c>
      <c r="B24" s="17">
        <v>1</v>
      </c>
      <c r="C24" s="18">
        <f>$B$25</f>
        <v>1.1080000000000001</v>
      </c>
      <c r="D24" s="19" t="s">
        <v>94</v>
      </c>
    </row>
    <row r="25" spans="1:5" ht="19.5" customHeight="1">
      <c r="A25" s="22" t="s">
        <v>95</v>
      </c>
      <c r="B25" s="23">
        <v>1.1080000000000001</v>
      </c>
      <c r="C25" s="13"/>
      <c r="D25" s="19" t="s">
        <v>96</v>
      </c>
    </row>
    <row r="26" spans="1:5" ht="18" customHeight="1">
      <c r="A26" s="24" t="s">
        <v>97</v>
      </c>
      <c r="B26" s="25">
        <f>IF($B$6="$2MM/$4MM",IFERROR(VLOOKUP($B$15,$A$21:$C$24,3,0),1),IFERROR(VLOOKUP($B$15,$A$21:$C$24,2,0),1))</f>
        <v>1.4950000000000001</v>
      </c>
      <c r="C26" s="13"/>
    </row>
    <row r="27" spans="1:5" ht="18" customHeight="1">
      <c r="A27" s="24" t="s">
        <v>98</v>
      </c>
      <c r="B27" s="26">
        <f>IF(B15="Unlimited",9999999999,IF(B15="$100K",100000,IF(B15="$250K",250000,IF(B15="$500K",500000,9999999999))))</f>
        <v>100000</v>
      </c>
    </row>
    <row r="28" spans="1:5" ht="18" customHeight="1">
      <c r="A28" s="155" t="s">
        <v>99</v>
      </c>
      <c r="B28" s="147"/>
      <c r="C28" s="147"/>
      <c r="D28" s="147"/>
      <c r="E28" s="147"/>
    </row>
    <row r="29" spans="1:5" ht="18" customHeight="1">
      <c r="A29" s="3" t="s">
        <v>100</v>
      </c>
      <c r="B29" s="12">
        <v>0</v>
      </c>
    </row>
    <row r="30" spans="1:5" ht="18" customHeight="1">
      <c r="A30" s="3" t="s">
        <v>101</v>
      </c>
      <c r="B30" s="12">
        <v>0.6</v>
      </c>
    </row>
    <row r="31" spans="1:5" ht="18" customHeight="1">
      <c r="A31" s="8" t="s">
        <v>102</v>
      </c>
      <c r="B31" s="27">
        <f>IFERROR(C37*B30*1000/B37,0)</f>
        <v>2.5332310092673813</v>
      </c>
      <c r="C31" s="10" t="s">
        <v>103</v>
      </c>
    </row>
    <row r="32" spans="1:5" ht="18" customHeight="1">
      <c r="A32" s="28" t="s">
        <v>104</v>
      </c>
      <c r="B32" s="29">
        <f>IFERROR(ROUND(B9*B30/B8*1000,4),0)</f>
        <v>2.5331999999999999</v>
      </c>
      <c r="C32" s="30" t="s">
        <v>105</v>
      </c>
    </row>
    <row r="33" spans="1:4" ht="18" customHeight="1">
      <c r="A33" s="10" t="s">
        <v>106</v>
      </c>
    </row>
    <row r="34" spans="1:4" ht="18" customHeight="1">
      <c r="A34" s="31" t="s">
        <v>107</v>
      </c>
      <c r="B34" s="32"/>
      <c r="C34" s="32"/>
      <c r="D34" s="32"/>
    </row>
    <row r="35" spans="1:4" ht="18" customHeight="1">
      <c r="A35" s="154" t="s">
        <v>108</v>
      </c>
      <c r="B35" s="147"/>
      <c r="C35" s="147"/>
      <c r="D35" s="147"/>
    </row>
    <row r="36" spans="1:4" ht="18" customHeight="1" outlineLevel="1">
      <c r="A36" s="33" t="s">
        <v>109</v>
      </c>
      <c r="B36" s="33" t="s">
        <v>110</v>
      </c>
      <c r="C36" s="34" t="s">
        <v>111</v>
      </c>
      <c r="D36" s="35"/>
    </row>
    <row r="37" spans="1:4" ht="18" customHeight="1" outlineLevel="1">
      <c r="A37" s="36">
        <f ca="1">IF(MONTH(IF($B$7="",TODAY(),$B$7))&gt;=7,YEAR(IF($B$7="",TODAY(),$B$7)),YEAR(IF($B$7="",TODAY(),$B$7))-1)</f>
        <v>2025</v>
      </c>
      <c r="B37" s="37">
        <f>IFERROR($B$8/1.05,0)</f>
        <v>42633300.952380948</v>
      </c>
      <c r="C37" s="38">
        <f>IFERROR($B$9/1.05,0)</f>
        <v>180000</v>
      </c>
    </row>
    <row r="38" spans="1:4" ht="18" customHeight="1" outlineLevel="1">
      <c r="A38" s="36">
        <f t="shared" ref="A38:A46" ca="1" si="0">A37-1</f>
        <v>2024</v>
      </c>
      <c r="B38" s="39">
        <f t="shared" ref="B38:B46" si="1">IFERROR(B37/1.05,0)</f>
        <v>40603143.76417233</v>
      </c>
      <c r="C38" s="38">
        <f t="shared" ref="C38:C46" si="2">IFERROR(C37/1.05,0)</f>
        <v>171428.57142857142</v>
      </c>
    </row>
    <row r="39" spans="1:4" ht="18" customHeight="1" outlineLevel="1">
      <c r="A39" s="36">
        <f t="shared" ca="1" si="0"/>
        <v>2023</v>
      </c>
      <c r="B39" s="39">
        <f t="shared" si="1"/>
        <v>38669660.727783173</v>
      </c>
      <c r="C39" s="38">
        <f t="shared" si="2"/>
        <v>163265.30612244896</v>
      </c>
    </row>
    <row r="40" spans="1:4" ht="18" customHeight="1" outlineLevel="1">
      <c r="A40" s="36">
        <f t="shared" ca="1" si="0"/>
        <v>2022</v>
      </c>
      <c r="B40" s="39">
        <f t="shared" si="1"/>
        <v>36828248.312174447</v>
      </c>
      <c r="C40" s="38">
        <f t="shared" si="2"/>
        <v>155490.76773566566</v>
      </c>
    </row>
    <row r="41" spans="1:4" ht="18" customHeight="1" outlineLevel="1">
      <c r="A41" s="36">
        <f t="shared" ca="1" si="0"/>
        <v>2021</v>
      </c>
      <c r="B41" s="39">
        <f t="shared" si="1"/>
        <v>35074522.202070899</v>
      </c>
      <c r="C41" s="38">
        <f t="shared" si="2"/>
        <v>148086.44546253872</v>
      </c>
    </row>
    <row r="42" spans="1:4" ht="18" customHeight="1" outlineLevel="1">
      <c r="A42" s="36">
        <f t="shared" ca="1" si="0"/>
        <v>2020</v>
      </c>
      <c r="B42" s="39">
        <f t="shared" si="1"/>
        <v>33404306.859115142</v>
      </c>
      <c r="C42" s="38">
        <f t="shared" si="2"/>
        <v>141034.70996432257</v>
      </c>
    </row>
    <row r="43" spans="1:4" ht="18" customHeight="1" outlineLevel="1">
      <c r="A43" s="36">
        <f t="shared" ca="1" si="0"/>
        <v>2019</v>
      </c>
      <c r="B43" s="39">
        <f t="shared" si="1"/>
        <v>31813625.58010966</v>
      </c>
      <c r="C43" s="38">
        <f t="shared" si="2"/>
        <v>134318.77139459291</v>
      </c>
    </row>
    <row r="44" spans="1:4" ht="18" customHeight="1" outlineLevel="1">
      <c r="A44" s="36">
        <f t="shared" ca="1" si="0"/>
        <v>2018</v>
      </c>
      <c r="B44" s="39">
        <f t="shared" si="1"/>
        <v>30298691.028675865</v>
      </c>
      <c r="C44" s="38">
        <f t="shared" si="2"/>
        <v>127922.63942342182</v>
      </c>
    </row>
    <row r="45" spans="1:4" ht="15" customHeight="1" outlineLevel="1">
      <c r="A45" s="36">
        <f t="shared" ca="1" si="0"/>
        <v>2017</v>
      </c>
      <c r="B45" s="39">
        <f t="shared" si="1"/>
        <v>28855896.217786536</v>
      </c>
      <c r="C45" s="38">
        <f t="shared" si="2"/>
        <v>121831.08516516363</v>
      </c>
    </row>
    <row r="46" spans="1:4" ht="15" customHeight="1" outlineLevel="1">
      <c r="A46" s="36">
        <f t="shared" ca="1" si="0"/>
        <v>2016</v>
      </c>
      <c r="B46" s="39">
        <f t="shared" si="1"/>
        <v>27481805.921701461</v>
      </c>
      <c r="C46" s="38">
        <f t="shared" si="2"/>
        <v>116029.60491920346</v>
      </c>
    </row>
  </sheetData>
  <mergeCells count="6">
    <mergeCell ref="A35:D35"/>
    <mergeCell ref="A28:E28"/>
    <mergeCell ref="A11:E11"/>
    <mergeCell ref="A1:E1"/>
    <mergeCell ref="A14:E14"/>
    <mergeCell ref="A3:E3"/>
  </mergeCells>
  <conditionalFormatting sqref="B22">
    <cfRule type="expression" dxfId="4" priority="2">
      <formula>AND(B22="",$B$15="$250,000")</formula>
    </cfRule>
  </conditionalFormatting>
  <conditionalFormatting sqref="B23">
    <cfRule type="expression" dxfId="3" priority="3">
      <formula>AND(B23="",$B$15="$500,000")</formula>
    </cfRule>
  </conditionalFormatting>
  <dataValidations count="5">
    <dataValidation type="list" sqref="B12" xr:uid="{00000000-0002-0000-0000-000000000000}">
      <formula1>"Everspan Fitted,Hartford Fitted"</formula1>
      <formula2>0</formula2>
    </dataValidation>
    <dataValidation type="list" showInputMessage="1" showErrorMessage="1" errorTitle="Invalid Entry" error="Please select a value from the dropdown (0 to 0.07)." promptTitle="Annual Trend Rate" prompt="Select 0 = no trend, 0.01 = 1%, ... 0.07 = 7%." sqref="B29" xr:uid="{00000000-0002-0000-0000-000001000000}">
      <formula1>"0,0.01,0.02,0.03,0.04,0.05,0.06,0.07"</formula1>
      <formula2>0</formula2>
    </dataValidation>
    <dataValidation type="list" errorStyle="warning" errorTitle="Non-standard deductible" error="This amount is not in the standard list. Verify it matches the policy form." sqref="B10" xr:uid="{00000000-0002-0000-0000-000002000000}">
      <formula1>"0,5000,10000,25000,50000,100000"</formula1>
      <formula2>0</formula2>
    </dataValidation>
    <dataValidation type="list" allowBlank="1" showErrorMessage="1" errorTitle="Invalid entry" error="Select from list" sqref="B6" xr:uid="{00000000-0002-0000-0000-000003000000}">
      <formula1>"$1MM/$2MM,$2MM/$4MM"</formula1>
      <formula2>0</formula2>
    </dataValidation>
    <dataValidation type="list" allowBlank="1" showErrorMessage="1" errorTitle="Invalid entry" error="Select from list" sqref="B15" xr:uid="{00000000-0002-0000-0000-000004000000}">
      <formula1>"$100K,$250K,$500K,Unlimited"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2"/>
  <sheetViews>
    <sheetView showGridLines="0" zoomScaleNormal="100" workbookViewId="0">
      <selection activeCell="A21" sqref="A21"/>
    </sheetView>
  </sheetViews>
  <sheetFormatPr defaultColWidth="8.7265625" defaultRowHeight="15" customHeight="1"/>
  <cols>
    <col min="1" max="1" width="20" customWidth="1"/>
    <col min="2" max="2" width="22" customWidth="1"/>
    <col min="3" max="3" width="21.90625" customWidth="1"/>
    <col min="4" max="4" width="16" customWidth="1"/>
    <col min="5" max="6" width="26" customWidth="1"/>
  </cols>
  <sheetData>
    <row r="1" spans="1:6" ht="25.5" customHeight="1">
      <c r="A1" s="157" t="s">
        <v>112</v>
      </c>
      <c r="B1" s="147"/>
      <c r="C1" s="147"/>
      <c r="D1" s="147"/>
      <c r="E1" s="147"/>
    </row>
    <row r="2" spans="1:6" ht="30" customHeight="1">
      <c r="A2" s="40" t="s">
        <v>113</v>
      </c>
      <c r="B2" s="40" t="s">
        <v>114</v>
      </c>
      <c r="C2" s="40" t="s">
        <v>115</v>
      </c>
      <c r="D2" s="41" t="s">
        <v>116</v>
      </c>
      <c r="E2" s="41" t="str">
        <f>IF(Setup!$B$10=0,"Net Capped Loss ($)"&amp;CHAR(10)&amp;"(auto  ·  limited to "&amp;Setup!$B$15&amp;")","Net Capped Loss ($)"&amp;CHAR(10)&amp;"(auto  ·  net of $"&amp;TEXT(Setup!$B$10,"#,##0")&amp;" ded."&amp;CHAR(10)&amp;"limited to "&amp;Setup!$B$15&amp;")")</f>
        <v>Net Capped Loss ($)
(auto  ·  net of $10,000 ded.
limited to $100K)</v>
      </c>
      <c r="F2" s="42" t="str">
        <f>IF(Setup!$B$10=0,"Case Incurred Loss ($)"&amp;CHAR(10)&amp;"(same as col B — ground-up)","Net Unlimited Loss ($)"&amp;CHAR(10)&amp;"(auto  ·  gross minus "&amp;TEXT(Setup!$B$10,"$#,##0")&amp;" ded.)")</f>
        <v>Net Unlimited Loss ($)
(auto  ·  gross minus $10,000 ded.)</v>
      </c>
    </row>
    <row r="3" spans="1:6" ht="15" customHeight="1">
      <c r="A3" s="43">
        <v>45926</v>
      </c>
      <c r="B3" s="44">
        <v>27000</v>
      </c>
      <c r="C3" s="43">
        <v>46112</v>
      </c>
      <c r="D3" s="45">
        <f t="shared" ref="D3:D66" si="0">IF(A3="","",YEAR(A3))</f>
        <v>2025</v>
      </c>
      <c r="E3" s="46">
        <f>IF(OR(A3="",B3=""),"",MAX(0,MIN(B3,Setup!$B$27+Setup!$B$10)-Setup!$B$10))</f>
        <v>17000</v>
      </c>
      <c r="F3" s="47">
        <f>IF(OR(A3="",B3=""),"",MAX(0,B3-Setup!$B$10))</f>
        <v>17000</v>
      </c>
    </row>
    <row r="4" spans="1:6" ht="15" customHeight="1">
      <c r="A4" s="48">
        <v>45646</v>
      </c>
      <c r="B4" s="49">
        <v>25000</v>
      </c>
      <c r="C4" s="43"/>
      <c r="D4" s="45">
        <f t="shared" si="0"/>
        <v>2024</v>
      </c>
      <c r="E4" s="46">
        <f>IF(OR(A4="",B4=""),"",MAX(0,MIN(B4,Setup!$B$27+Setup!$B$10)-Setup!$B$10))</f>
        <v>15000</v>
      </c>
      <c r="F4" s="47">
        <f>IF(OR(A4="",B4=""),"",MAX(0,B4-Setup!$B$10))</f>
        <v>15000</v>
      </c>
    </row>
    <row r="5" spans="1:6" ht="15" customHeight="1">
      <c r="A5" s="48">
        <v>45516</v>
      </c>
      <c r="B5" s="49">
        <v>3438.15</v>
      </c>
      <c r="C5" s="43"/>
      <c r="D5" s="45">
        <f t="shared" si="0"/>
        <v>2024</v>
      </c>
      <c r="E5" s="46">
        <f>IF(OR(A5="",B5=""),"",MAX(0,MIN(B5,Setup!$B$27+Setup!$B$10)-Setup!$B$10))</f>
        <v>0</v>
      </c>
      <c r="F5" s="47">
        <f>IF(OR(A5="",B5=""),"",MAX(0,B5-Setup!$B$10))</f>
        <v>0</v>
      </c>
    </row>
    <row r="6" spans="1:6" ht="15" customHeight="1">
      <c r="A6" s="48">
        <v>45544</v>
      </c>
      <c r="B6" s="49">
        <v>2170.15</v>
      </c>
      <c r="C6" s="43"/>
      <c r="D6" s="45">
        <f t="shared" si="0"/>
        <v>2024</v>
      </c>
      <c r="E6" s="46">
        <f>IF(OR(A6="",B6=""),"",MAX(0,MIN(B6,Setup!$B$27+Setup!$B$10)-Setup!$B$10))</f>
        <v>0</v>
      </c>
      <c r="F6" s="47">
        <f>IF(OR(A6="",B6=""),"",MAX(0,B6-Setup!$B$10))</f>
        <v>0</v>
      </c>
    </row>
    <row r="7" spans="1:6" ht="15" customHeight="1">
      <c r="A7" s="48">
        <v>45502</v>
      </c>
      <c r="B7" s="49">
        <v>275000</v>
      </c>
      <c r="C7" s="43"/>
      <c r="D7" s="45">
        <f t="shared" si="0"/>
        <v>2024</v>
      </c>
      <c r="E7" s="46">
        <f>IF(OR(A7="",B7=""),"",MAX(0,MIN(B7,Setup!$B$27+Setup!$B$10)-Setup!$B$10))</f>
        <v>100000</v>
      </c>
      <c r="F7" s="47">
        <f>IF(OR(A7="",B7=""),"",MAX(0,B7-Setup!$B$10))</f>
        <v>265000</v>
      </c>
    </row>
    <row r="8" spans="1:6" ht="15" customHeight="1">
      <c r="A8" s="48">
        <v>45474</v>
      </c>
      <c r="B8" s="49">
        <v>778.46</v>
      </c>
      <c r="C8" s="43"/>
      <c r="D8" s="45">
        <f t="shared" si="0"/>
        <v>2024</v>
      </c>
      <c r="E8" s="46">
        <f>IF(OR(A8="",B8=""),"",MAX(0,MIN(B8,Setup!$B$27+Setup!$B$10)-Setup!$B$10))</f>
        <v>0</v>
      </c>
      <c r="F8" s="47">
        <f>IF(OR(A8="",B8=""),"",MAX(0,B8-Setup!$B$10))</f>
        <v>0</v>
      </c>
    </row>
    <row r="9" spans="1:6" ht="15" customHeight="1">
      <c r="A9" s="48">
        <v>45482</v>
      </c>
      <c r="B9" s="49">
        <v>1</v>
      </c>
      <c r="C9" s="43"/>
      <c r="D9" s="45">
        <f t="shared" si="0"/>
        <v>2024</v>
      </c>
      <c r="E9" s="46">
        <f>IF(OR(A9="",B9=""),"",MAX(0,MIN(B9,Setup!$B$27+Setup!$B$10)-Setup!$B$10))</f>
        <v>0</v>
      </c>
      <c r="F9" s="47">
        <f>IF(OR(A9="",B9=""),"",MAX(0,B9-Setup!$B$10))</f>
        <v>0</v>
      </c>
    </row>
    <row r="10" spans="1:6" ht="15" customHeight="1">
      <c r="A10" s="48">
        <v>45782</v>
      </c>
      <c r="B10" s="49">
        <v>12</v>
      </c>
      <c r="C10" s="43"/>
      <c r="D10" s="45">
        <f t="shared" si="0"/>
        <v>2025</v>
      </c>
      <c r="E10" s="46">
        <f>IF(OR(A10="",B10=""),"",MAX(0,MIN(B10,Setup!$B$27+Setup!$B$10)-Setup!$B$10))</f>
        <v>0</v>
      </c>
      <c r="F10" s="47">
        <f>IF(OR(A10="",B10=""),"",MAX(0,B10-Setup!$B$10))</f>
        <v>0</v>
      </c>
    </row>
    <row r="11" spans="1:6" ht="15" customHeight="1">
      <c r="A11" s="48">
        <v>45443</v>
      </c>
      <c r="B11" s="49">
        <v>22000</v>
      </c>
      <c r="C11" s="43"/>
      <c r="D11" s="45">
        <f t="shared" si="0"/>
        <v>2024</v>
      </c>
      <c r="E11" s="46">
        <f>IF(OR(A11="",B11=""),"",MAX(0,MIN(B11,Setup!$B$27+Setup!$B$10)-Setup!$B$10))</f>
        <v>12000</v>
      </c>
      <c r="F11" s="47">
        <f>IF(OR(A11="",B11=""),"",MAX(0,B11-Setup!$B$10))</f>
        <v>12000</v>
      </c>
    </row>
    <row r="12" spans="1:6" ht="15" customHeight="1">
      <c r="A12" s="48">
        <v>45309</v>
      </c>
      <c r="B12" s="49">
        <v>1908.29</v>
      </c>
      <c r="C12" s="43"/>
      <c r="D12" s="45">
        <f t="shared" si="0"/>
        <v>2024</v>
      </c>
      <c r="E12" s="46">
        <f>IF(OR(A12="",B12=""),"",MAX(0,MIN(B12,Setup!$B$27+Setup!$B$10)-Setup!$B$10))</f>
        <v>0</v>
      </c>
      <c r="F12" s="47">
        <f>IF(OR(A12="",B12=""),"",MAX(0,B12-Setup!$B$10))</f>
        <v>0</v>
      </c>
    </row>
    <row r="13" spans="1:6" ht="15" customHeight="1">
      <c r="A13" s="48">
        <v>44804</v>
      </c>
      <c r="B13" s="49">
        <v>4000</v>
      </c>
      <c r="C13" s="43"/>
      <c r="D13" s="45">
        <f t="shared" si="0"/>
        <v>2022</v>
      </c>
      <c r="E13" s="46">
        <f>IF(OR(A13="",B13=""),"",MAX(0,MIN(B13,Setup!$B$27+Setup!$B$10)-Setup!$B$10))</f>
        <v>0</v>
      </c>
      <c r="F13" s="47">
        <f>IF(OR(A13="",B13=""),"",MAX(0,B13-Setup!$B$10))</f>
        <v>0</v>
      </c>
    </row>
    <row r="14" spans="1:6" ht="15" customHeight="1">
      <c r="A14" s="48">
        <v>44708</v>
      </c>
      <c r="B14" s="49">
        <v>1838.15</v>
      </c>
      <c r="C14" s="43"/>
      <c r="D14" s="45">
        <f t="shared" si="0"/>
        <v>2022</v>
      </c>
      <c r="E14" s="46">
        <f>IF(OR(A14="",B14=""),"",MAX(0,MIN(B14,Setup!$B$27+Setup!$B$10)-Setup!$B$10))</f>
        <v>0</v>
      </c>
      <c r="F14" s="47">
        <f>IF(OR(A14="",B14=""),"",MAX(0,B14-Setup!$B$10))</f>
        <v>0</v>
      </c>
    </row>
    <row r="15" spans="1:6" ht="15" customHeight="1">
      <c r="A15" s="48">
        <v>44592</v>
      </c>
      <c r="B15" s="49">
        <v>120</v>
      </c>
      <c r="C15" s="43"/>
      <c r="D15" s="45">
        <f t="shared" si="0"/>
        <v>2022</v>
      </c>
      <c r="E15" s="46">
        <f>IF(OR(A15="",B15=""),"",MAX(0,MIN(B15,Setup!$B$27+Setup!$B$10)-Setup!$B$10))</f>
        <v>0</v>
      </c>
      <c r="F15" s="47">
        <f>IF(OR(A15="",B15=""),"",MAX(0,B15-Setup!$B$10))</f>
        <v>0</v>
      </c>
    </row>
    <row r="16" spans="1:6" ht="15" customHeight="1">
      <c r="A16" s="48">
        <v>44595</v>
      </c>
      <c r="B16" s="49">
        <v>570386.9</v>
      </c>
      <c r="C16" s="43"/>
      <c r="D16" s="45">
        <f t="shared" si="0"/>
        <v>2022</v>
      </c>
      <c r="E16" s="46">
        <f>IF(OR(A16="",B16=""),"",MAX(0,MIN(B16,Setup!$B$27+Setup!$B$10)-Setup!$B$10))</f>
        <v>100000</v>
      </c>
      <c r="F16" s="47">
        <f>IF(OR(A16="",B16=""),"",MAX(0,B16-Setup!$B$10))</f>
        <v>560386.9</v>
      </c>
    </row>
    <row r="17" spans="1:6" ht="15" customHeight="1">
      <c r="A17" s="48">
        <v>44514</v>
      </c>
      <c r="B17" s="49">
        <v>2515</v>
      </c>
      <c r="C17" s="43"/>
      <c r="D17" s="45">
        <f t="shared" si="0"/>
        <v>2021</v>
      </c>
      <c r="E17" s="46">
        <f>IF(OR(A17="",B17=""),"",MAX(0,MIN(B17,Setup!$B$27+Setup!$B$10)-Setup!$B$10))</f>
        <v>0</v>
      </c>
      <c r="F17" s="47">
        <f>IF(OR(A17="",B17=""),"",MAX(0,B17-Setup!$B$10))</f>
        <v>0</v>
      </c>
    </row>
    <row r="18" spans="1:6" ht="15" customHeight="1">
      <c r="A18" s="48">
        <v>44490</v>
      </c>
      <c r="B18" s="49">
        <v>871.85</v>
      </c>
      <c r="C18" s="43"/>
      <c r="D18" s="45">
        <f t="shared" si="0"/>
        <v>2021</v>
      </c>
      <c r="E18" s="46">
        <f>IF(OR(A18="",B18=""),"",MAX(0,MIN(B18,Setup!$B$27+Setup!$B$10)-Setup!$B$10))</f>
        <v>0</v>
      </c>
      <c r="F18" s="47">
        <f>IF(OR(A18="",B18=""),"",MAX(0,B18-Setup!$B$10))</f>
        <v>0</v>
      </c>
    </row>
    <row r="19" spans="1:6" ht="15" customHeight="1">
      <c r="A19" s="48">
        <v>44407</v>
      </c>
      <c r="B19" s="49">
        <v>1905.5</v>
      </c>
      <c r="C19" s="43"/>
      <c r="D19" s="45">
        <f t="shared" si="0"/>
        <v>2021</v>
      </c>
      <c r="E19" s="46">
        <f>IF(OR(A19="",B19=""),"",MAX(0,MIN(B19,Setup!$B$27+Setup!$B$10)-Setup!$B$10))</f>
        <v>0</v>
      </c>
      <c r="F19" s="47">
        <f>IF(OR(A19="",B19=""),"",MAX(0,B19-Setup!$B$10))</f>
        <v>0</v>
      </c>
    </row>
    <row r="20" spans="1:6" ht="15" customHeight="1">
      <c r="A20" s="48">
        <v>44131</v>
      </c>
      <c r="B20" s="49">
        <v>1704.53</v>
      </c>
      <c r="C20" s="43"/>
      <c r="D20" s="45">
        <f t="shared" si="0"/>
        <v>2020</v>
      </c>
      <c r="E20" s="46">
        <f>IF(OR(A20="",B20=""),"",MAX(0,MIN(B20,Setup!$B$27+Setup!$B$10)-Setup!$B$10))</f>
        <v>0</v>
      </c>
      <c r="F20" s="47">
        <f>IF(OR(A20="",B20=""),"",MAX(0,B20-Setup!$B$10))</f>
        <v>0</v>
      </c>
    </row>
    <row r="21" spans="1:6" ht="15" customHeight="1">
      <c r="A21" s="48"/>
      <c r="B21" s="49"/>
      <c r="C21" s="43"/>
      <c r="D21" s="45" t="str">
        <f t="shared" si="0"/>
        <v/>
      </c>
      <c r="E21" s="46" t="str">
        <f>IF(OR(A21="",B21=""),"",MAX(0,MIN(B21,Setup!$B$27+Setup!$B$10)-Setup!$B$10))</f>
        <v/>
      </c>
      <c r="F21" s="47" t="str">
        <f>IF(OR(A21="",B21=""),"",MAX(0,B21-Setup!$B$10))</f>
        <v/>
      </c>
    </row>
    <row r="22" spans="1:6" ht="15" customHeight="1">
      <c r="A22" s="48"/>
      <c r="B22" s="49"/>
      <c r="C22" s="43"/>
      <c r="D22" s="45" t="str">
        <f t="shared" si="0"/>
        <v/>
      </c>
      <c r="E22" s="46" t="str">
        <f>IF(OR(A22="",B22=""),"",MAX(0,MIN(B22,Setup!$B$27+Setup!$B$10)-Setup!$B$10))</f>
        <v/>
      </c>
      <c r="F22" s="47" t="str">
        <f>IF(OR(A22="",B22=""),"",MAX(0,B22-Setup!$B$10))</f>
        <v/>
      </c>
    </row>
    <row r="23" spans="1:6" ht="15" customHeight="1">
      <c r="A23" s="48"/>
      <c r="B23" s="49"/>
      <c r="C23" s="43"/>
      <c r="D23" s="45" t="str">
        <f t="shared" si="0"/>
        <v/>
      </c>
      <c r="E23" s="46" t="str">
        <f>IF(OR(A23="",B23=""),"",MAX(0,MIN(B23,Setup!$B$27+Setup!$B$10)-Setup!$B$10))</f>
        <v/>
      </c>
      <c r="F23" s="47" t="str">
        <f>IF(OR(A23="",B23=""),"",MAX(0,B23-Setup!$B$10))</f>
        <v/>
      </c>
    </row>
    <row r="24" spans="1:6" ht="15" customHeight="1">
      <c r="A24" s="48"/>
      <c r="B24" s="49"/>
      <c r="C24" s="43"/>
      <c r="D24" s="45" t="str">
        <f t="shared" si="0"/>
        <v/>
      </c>
      <c r="E24" s="46" t="str">
        <f>IF(OR(A24="",B24=""),"",MAX(0,MIN(B24,Setup!$B$27+Setup!$B$10)-Setup!$B$10))</f>
        <v/>
      </c>
      <c r="F24" s="47" t="str">
        <f>IF(OR(A24="",B24=""),"",MAX(0,B24-Setup!$B$10))</f>
        <v/>
      </c>
    </row>
    <row r="25" spans="1:6" ht="15" customHeight="1">
      <c r="A25" s="48"/>
      <c r="B25" s="49"/>
      <c r="C25" s="43"/>
      <c r="D25" s="45" t="str">
        <f t="shared" si="0"/>
        <v/>
      </c>
      <c r="E25" s="46" t="str">
        <f>IF(OR(A25="",B25=""),"",MAX(0,MIN(B25,Setup!$B$27+Setup!$B$10)-Setup!$B$10))</f>
        <v/>
      </c>
      <c r="F25" s="47" t="str">
        <f>IF(OR(A25="",B25=""),"",MAX(0,B25-Setup!$B$10))</f>
        <v/>
      </c>
    </row>
    <row r="26" spans="1:6" ht="15" customHeight="1">
      <c r="A26" s="48"/>
      <c r="B26" s="49"/>
      <c r="C26" s="43"/>
      <c r="D26" s="45" t="str">
        <f t="shared" si="0"/>
        <v/>
      </c>
      <c r="E26" s="46" t="str">
        <f>IF(OR(A26="",B26=""),"",MAX(0,MIN(B26,Setup!$B$27+Setup!$B$10)-Setup!$B$10))</f>
        <v/>
      </c>
      <c r="F26" s="47" t="str">
        <f>IF(OR(A26="",B26=""),"",MAX(0,B26-Setup!$B$10))</f>
        <v/>
      </c>
    </row>
    <row r="27" spans="1:6" ht="15" customHeight="1">
      <c r="A27" s="48"/>
      <c r="B27" s="49"/>
      <c r="C27" s="43"/>
      <c r="D27" s="45" t="str">
        <f t="shared" si="0"/>
        <v/>
      </c>
      <c r="E27" s="46" t="str">
        <f>IF(OR(A27="",B27=""),"",MAX(0,MIN(B27,Setup!$B$27+Setup!$B$10)-Setup!$B$10))</f>
        <v/>
      </c>
      <c r="F27" s="47" t="str">
        <f>IF(OR(A27="",B27=""),"",MAX(0,B27-Setup!$B$10))</f>
        <v/>
      </c>
    </row>
    <row r="28" spans="1:6" ht="15" customHeight="1">
      <c r="A28" s="48"/>
      <c r="B28" s="49"/>
      <c r="C28" s="43"/>
      <c r="D28" s="45" t="str">
        <f t="shared" si="0"/>
        <v/>
      </c>
      <c r="E28" s="46" t="str">
        <f>IF(OR(A28="",B28=""),"",MAX(0,MIN(B28,Setup!$B$27+Setup!$B$10)-Setup!$B$10))</f>
        <v/>
      </c>
      <c r="F28" s="47" t="str">
        <f>IF(OR(A28="",B28=""),"",MAX(0,B28-Setup!$B$10))</f>
        <v/>
      </c>
    </row>
    <row r="29" spans="1:6" ht="15" customHeight="1">
      <c r="A29" s="48"/>
      <c r="B29" s="49"/>
      <c r="C29" s="43"/>
      <c r="D29" s="45" t="str">
        <f t="shared" si="0"/>
        <v/>
      </c>
      <c r="E29" s="46" t="str">
        <f>IF(OR(A29="",B29=""),"",MAX(0,MIN(B29,Setup!$B$27+Setup!$B$10)-Setup!$B$10))</f>
        <v/>
      </c>
      <c r="F29" s="47" t="str">
        <f>IF(OR(A29="",B29=""),"",MAX(0,B29-Setup!$B$10))</f>
        <v/>
      </c>
    </row>
    <row r="30" spans="1:6" ht="15" customHeight="1">
      <c r="A30" s="48"/>
      <c r="B30" s="49"/>
      <c r="C30" s="43"/>
      <c r="D30" s="45" t="str">
        <f t="shared" si="0"/>
        <v/>
      </c>
      <c r="E30" s="46" t="str">
        <f>IF(OR(A30="",B30=""),"",MAX(0,MIN(B30,Setup!$B$27+Setup!$B$10)-Setup!$B$10))</f>
        <v/>
      </c>
      <c r="F30" s="47" t="str">
        <f>IF(OR(A30="",B30=""),"",MAX(0,B30-Setup!$B$10))</f>
        <v/>
      </c>
    </row>
    <row r="31" spans="1:6" ht="15" customHeight="1">
      <c r="A31" s="48"/>
      <c r="B31" s="49"/>
      <c r="C31" s="43"/>
      <c r="D31" s="45" t="str">
        <f t="shared" si="0"/>
        <v/>
      </c>
      <c r="E31" s="46" t="str">
        <f>IF(OR(A31="",B31=""),"",MAX(0,MIN(B31,Setup!$B$27+Setup!$B$10)-Setup!$B$10))</f>
        <v/>
      </c>
      <c r="F31" s="47" t="str">
        <f>IF(OR(A31="",B31=""),"",MAX(0,B31-Setup!$B$10))</f>
        <v/>
      </c>
    </row>
    <row r="32" spans="1:6" ht="15" customHeight="1">
      <c r="A32" s="48"/>
      <c r="B32" s="49"/>
      <c r="C32" s="43"/>
      <c r="D32" s="45" t="str">
        <f t="shared" si="0"/>
        <v/>
      </c>
      <c r="E32" s="46" t="str">
        <f>IF(OR(A32="",B32=""),"",MAX(0,MIN(B32,Setup!$B$27+Setup!$B$10)-Setup!$B$10))</f>
        <v/>
      </c>
      <c r="F32" s="47" t="str">
        <f>IF(OR(A32="",B32=""),"",MAX(0,B32-Setup!$B$10))</f>
        <v/>
      </c>
    </row>
    <row r="33" spans="1:6" ht="15" customHeight="1">
      <c r="A33" s="48"/>
      <c r="B33" s="49"/>
      <c r="C33" s="43"/>
      <c r="D33" s="45" t="str">
        <f t="shared" si="0"/>
        <v/>
      </c>
      <c r="E33" s="46" t="str">
        <f>IF(OR(A33="",B33=""),"",MAX(0,MIN(B33,Setup!$B$27+Setup!$B$10)-Setup!$B$10))</f>
        <v/>
      </c>
      <c r="F33" s="47" t="str">
        <f>IF(OR(A33="",B33=""),"",MAX(0,B33-Setup!$B$10))</f>
        <v/>
      </c>
    </row>
    <row r="34" spans="1:6" ht="15" customHeight="1">
      <c r="A34" s="48"/>
      <c r="B34" s="49"/>
      <c r="C34" s="43"/>
      <c r="D34" s="45" t="str">
        <f t="shared" si="0"/>
        <v/>
      </c>
      <c r="E34" s="46" t="str">
        <f>IF(OR(A34="",B34=""),"",MAX(0,MIN(B34,Setup!$B$27+Setup!$B$10)-Setup!$B$10))</f>
        <v/>
      </c>
      <c r="F34" s="47" t="str">
        <f>IF(OR(A34="",B34=""),"",MAX(0,B34-Setup!$B$10))</f>
        <v/>
      </c>
    </row>
    <row r="35" spans="1:6" ht="15" customHeight="1">
      <c r="A35" s="48"/>
      <c r="B35" s="49"/>
      <c r="C35" s="43"/>
      <c r="D35" s="45" t="str">
        <f t="shared" si="0"/>
        <v/>
      </c>
      <c r="E35" s="46" t="str">
        <f>IF(OR(A35="",B35=""),"",MAX(0,MIN(B35,Setup!$B$27+Setup!$B$10)-Setup!$B$10))</f>
        <v/>
      </c>
      <c r="F35" s="47" t="str">
        <f>IF(OR(A35="",B35=""),"",MAX(0,B35-Setup!$B$10))</f>
        <v/>
      </c>
    </row>
    <row r="36" spans="1:6" ht="15" customHeight="1">
      <c r="A36" s="48"/>
      <c r="B36" s="49"/>
      <c r="C36" s="43"/>
      <c r="D36" s="45" t="str">
        <f t="shared" si="0"/>
        <v/>
      </c>
      <c r="E36" s="46" t="str">
        <f>IF(OR(A36="",B36=""),"",MAX(0,MIN(B36,Setup!$B$27+Setup!$B$10)-Setup!$B$10))</f>
        <v/>
      </c>
      <c r="F36" s="47" t="str">
        <f>IF(OR(A36="",B36=""),"",MAX(0,B36-Setup!$B$10))</f>
        <v/>
      </c>
    </row>
    <row r="37" spans="1:6" ht="15" customHeight="1">
      <c r="A37" s="48"/>
      <c r="B37" s="49"/>
      <c r="C37" s="43"/>
      <c r="D37" s="45" t="str">
        <f t="shared" si="0"/>
        <v/>
      </c>
      <c r="E37" s="46" t="str">
        <f>IF(OR(A37="",B37=""),"",MAX(0,MIN(B37,Setup!$B$27+Setup!$B$10)-Setup!$B$10))</f>
        <v/>
      </c>
      <c r="F37" s="47" t="str">
        <f>IF(OR(A37="",B37=""),"",MAX(0,B37-Setup!$B$10))</f>
        <v/>
      </c>
    </row>
    <row r="38" spans="1:6" ht="15" customHeight="1">
      <c r="A38" s="48"/>
      <c r="B38" s="49"/>
      <c r="C38" s="43"/>
      <c r="D38" s="45" t="str">
        <f t="shared" si="0"/>
        <v/>
      </c>
      <c r="E38" s="46" t="str">
        <f>IF(OR(A38="",B38=""),"",MAX(0,MIN(B38,Setup!$B$27+Setup!$B$10)-Setup!$B$10))</f>
        <v/>
      </c>
      <c r="F38" s="47" t="str">
        <f>IF(OR(A38="",B38=""),"",MAX(0,B38-Setup!$B$10))</f>
        <v/>
      </c>
    </row>
    <row r="39" spans="1:6" ht="15" customHeight="1">
      <c r="A39" s="48"/>
      <c r="B39" s="49"/>
      <c r="C39" s="43"/>
      <c r="D39" s="45" t="str">
        <f t="shared" si="0"/>
        <v/>
      </c>
      <c r="E39" s="46" t="str">
        <f>IF(OR(A39="",B39=""),"",MAX(0,MIN(B39,Setup!$B$27+Setup!$B$10)-Setup!$B$10))</f>
        <v/>
      </c>
      <c r="F39" s="47" t="str">
        <f>IF(OR(A39="",B39=""),"",MAX(0,B39-Setup!$B$10))</f>
        <v/>
      </c>
    </row>
    <row r="40" spans="1:6" ht="15" customHeight="1">
      <c r="A40" s="48"/>
      <c r="B40" s="49"/>
      <c r="C40" s="43"/>
      <c r="D40" s="45" t="str">
        <f t="shared" si="0"/>
        <v/>
      </c>
      <c r="E40" s="46" t="str">
        <f>IF(OR(A40="",B40=""),"",MAX(0,MIN(B40,Setup!$B$27+Setup!$B$10)-Setup!$B$10))</f>
        <v/>
      </c>
      <c r="F40" s="47" t="str">
        <f>IF(OR(A40="",B40=""),"",MAX(0,B40-Setup!$B$10))</f>
        <v/>
      </c>
    </row>
    <row r="41" spans="1:6" ht="15" customHeight="1">
      <c r="A41" s="48"/>
      <c r="B41" s="49"/>
      <c r="C41" s="43"/>
      <c r="D41" s="45" t="str">
        <f t="shared" si="0"/>
        <v/>
      </c>
      <c r="E41" s="46" t="str">
        <f>IF(OR(A41="",B41=""),"",MAX(0,MIN(B41,Setup!$B$27+Setup!$B$10)-Setup!$B$10))</f>
        <v/>
      </c>
      <c r="F41" s="47" t="str">
        <f>IF(OR(A41="",B41=""),"",MAX(0,B41-Setup!$B$10))</f>
        <v/>
      </c>
    </row>
    <row r="42" spans="1:6" ht="15" customHeight="1">
      <c r="A42" s="48"/>
      <c r="B42" s="49"/>
      <c r="C42" s="43"/>
      <c r="D42" s="45" t="str">
        <f t="shared" si="0"/>
        <v/>
      </c>
      <c r="E42" s="46" t="str">
        <f>IF(OR(A42="",B42=""),"",MAX(0,MIN(B42,Setup!$B$27+Setup!$B$10)-Setup!$B$10))</f>
        <v/>
      </c>
      <c r="F42" s="47" t="str">
        <f>IF(OR(A42="",B42=""),"",MAX(0,B42-Setup!$B$10))</f>
        <v/>
      </c>
    </row>
    <row r="43" spans="1:6" ht="15" customHeight="1">
      <c r="A43" s="48"/>
      <c r="B43" s="49"/>
      <c r="C43" s="43"/>
      <c r="D43" s="45" t="str">
        <f t="shared" si="0"/>
        <v/>
      </c>
      <c r="E43" s="46" t="str">
        <f>IF(OR(A43="",B43=""),"",MAX(0,MIN(B43,Setup!$B$27+Setup!$B$10)-Setup!$B$10))</f>
        <v/>
      </c>
      <c r="F43" s="47" t="str">
        <f>IF(OR(A43="",B43=""),"",MAX(0,B43-Setup!$B$10))</f>
        <v/>
      </c>
    </row>
    <row r="44" spans="1:6" ht="15" customHeight="1">
      <c r="A44" s="48"/>
      <c r="B44" s="49"/>
      <c r="C44" s="43"/>
      <c r="D44" s="45" t="str">
        <f t="shared" si="0"/>
        <v/>
      </c>
      <c r="E44" s="46" t="str">
        <f>IF(OR(A44="",B44=""),"",MAX(0,MIN(B44,Setup!$B$27+Setup!$B$10)-Setup!$B$10))</f>
        <v/>
      </c>
      <c r="F44" s="47" t="str">
        <f>IF(OR(A44="",B44=""),"",MAX(0,B44-Setup!$B$10))</f>
        <v/>
      </c>
    </row>
    <row r="45" spans="1:6" ht="15" customHeight="1">
      <c r="A45" s="48"/>
      <c r="B45" s="49"/>
      <c r="C45" s="43"/>
      <c r="D45" s="45" t="str">
        <f t="shared" si="0"/>
        <v/>
      </c>
      <c r="E45" s="46" t="str">
        <f>IF(OR(A45="",B45=""),"",MAX(0,MIN(B45,Setup!$B$27+Setup!$B$10)-Setup!$B$10))</f>
        <v/>
      </c>
      <c r="F45" s="47" t="str">
        <f>IF(OR(A45="",B45=""),"",MAX(0,B45-Setup!$B$10))</f>
        <v/>
      </c>
    </row>
    <row r="46" spans="1:6" ht="15" customHeight="1">
      <c r="A46" s="48"/>
      <c r="B46" s="49"/>
      <c r="C46" s="43"/>
      <c r="D46" s="45" t="str">
        <f t="shared" si="0"/>
        <v/>
      </c>
      <c r="E46" s="46" t="str">
        <f>IF(OR(A46="",B46=""),"",MAX(0,MIN(B46,Setup!$B$27+Setup!$B$10)-Setup!$B$10))</f>
        <v/>
      </c>
      <c r="F46" s="47" t="str">
        <f>IF(OR(A46="",B46=""),"",MAX(0,B46-Setup!$B$10))</f>
        <v/>
      </c>
    </row>
    <row r="47" spans="1:6" ht="15" customHeight="1">
      <c r="A47" s="48"/>
      <c r="B47" s="49"/>
      <c r="C47" s="43"/>
      <c r="D47" s="45" t="str">
        <f t="shared" si="0"/>
        <v/>
      </c>
      <c r="E47" s="46" t="str">
        <f>IF(OR(A47="",B47=""),"",MAX(0,MIN(B47,Setup!$B$27+Setup!$B$10)-Setup!$B$10))</f>
        <v/>
      </c>
      <c r="F47" s="47" t="str">
        <f>IF(OR(A47="",B47=""),"",MAX(0,B47-Setup!$B$10))</f>
        <v/>
      </c>
    </row>
    <row r="48" spans="1:6" ht="15" customHeight="1">
      <c r="A48" s="48"/>
      <c r="B48" s="49"/>
      <c r="C48" s="43"/>
      <c r="D48" s="45" t="str">
        <f t="shared" si="0"/>
        <v/>
      </c>
      <c r="E48" s="46" t="str">
        <f>IF(OR(A48="",B48=""),"",MAX(0,MIN(B48,Setup!$B$27+Setup!$B$10)-Setup!$B$10))</f>
        <v/>
      </c>
      <c r="F48" s="47" t="str">
        <f>IF(OR(A48="",B48=""),"",MAX(0,B48-Setup!$B$10))</f>
        <v/>
      </c>
    </row>
    <row r="49" spans="1:6" ht="15" customHeight="1">
      <c r="A49" s="48"/>
      <c r="B49" s="49"/>
      <c r="C49" s="43"/>
      <c r="D49" s="45" t="str">
        <f t="shared" si="0"/>
        <v/>
      </c>
      <c r="E49" s="46" t="str">
        <f>IF(OR(A49="",B49=""),"",MAX(0,MIN(B49,Setup!$B$27+Setup!$B$10)-Setup!$B$10))</f>
        <v/>
      </c>
      <c r="F49" s="47" t="str">
        <f>IF(OR(A49="",B49=""),"",MAX(0,B49-Setup!$B$10))</f>
        <v/>
      </c>
    </row>
    <row r="50" spans="1:6" ht="15" customHeight="1">
      <c r="A50" s="48"/>
      <c r="B50" s="49"/>
      <c r="C50" s="43"/>
      <c r="D50" s="45" t="str">
        <f t="shared" si="0"/>
        <v/>
      </c>
      <c r="E50" s="46" t="str">
        <f>IF(OR(A50="",B50=""),"",MAX(0,MIN(B50,Setup!$B$27+Setup!$B$10)-Setup!$B$10))</f>
        <v/>
      </c>
      <c r="F50" s="47" t="str">
        <f>IF(OR(A50="",B50=""),"",MAX(0,B50-Setup!$B$10))</f>
        <v/>
      </c>
    </row>
    <row r="51" spans="1:6" ht="15" customHeight="1">
      <c r="A51" s="48"/>
      <c r="B51" s="49"/>
      <c r="C51" s="43"/>
      <c r="D51" s="45" t="str">
        <f t="shared" si="0"/>
        <v/>
      </c>
      <c r="E51" s="46" t="str">
        <f>IF(OR(A51="",B51=""),"",MAX(0,MIN(B51,Setup!$B$27+Setup!$B$10)-Setup!$B$10))</f>
        <v/>
      </c>
      <c r="F51" s="47" t="str">
        <f>IF(OR(A51="",B51=""),"",MAX(0,B51-Setup!$B$10))</f>
        <v/>
      </c>
    </row>
    <row r="52" spans="1:6" ht="15" customHeight="1">
      <c r="A52" s="48"/>
      <c r="B52" s="49"/>
      <c r="C52" s="43"/>
      <c r="D52" s="45" t="str">
        <f t="shared" si="0"/>
        <v/>
      </c>
      <c r="E52" s="46" t="str">
        <f>IF(OR(A52="",B52=""),"",MAX(0,MIN(B52,Setup!$B$27+Setup!$B$10)-Setup!$B$10))</f>
        <v/>
      </c>
      <c r="F52" s="47" t="str">
        <f>IF(OR(A52="",B52=""),"",MAX(0,B52-Setup!$B$10))</f>
        <v/>
      </c>
    </row>
    <row r="53" spans="1:6" ht="15" customHeight="1">
      <c r="A53" s="48"/>
      <c r="B53" s="49"/>
      <c r="C53" s="43"/>
      <c r="D53" s="45" t="str">
        <f t="shared" si="0"/>
        <v/>
      </c>
      <c r="E53" s="46" t="str">
        <f>IF(OR(A53="",B53=""),"",MAX(0,MIN(B53,Setup!$B$27+Setup!$B$10)-Setup!$B$10))</f>
        <v/>
      </c>
      <c r="F53" s="47" t="str">
        <f>IF(OR(A53="",B53=""),"",MAX(0,B53-Setup!$B$10))</f>
        <v/>
      </c>
    </row>
    <row r="54" spans="1:6" ht="15" customHeight="1">
      <c r="A54" s="48"/>
      <c r="B54" s="49"/>
      <c r="C54" s="43"/>
      <c r="D54" s="45" t="str">
        <f t="shared" si="0"/>
        <v/>
      </c>
      <c r="E54" s="46" t="str">
        <f>IF(OR(A54="",B54=""),"",MAX(0,MIN(B54,Setup!$B$27+Setup!$B$10)-Setup!$B$10))</f>
        <v/>
      </c>
      <c r="F54" s="47" t="str">
        <f>IF(OR(A54="",B54=""),"",MAX(0,B54-Setup!$B$10))</f>
        <v/>
      </c>
    </row>
    <row r="55" spans="1:6" ht="15" customHeight="1">
      <c r="A55" s="48"/>
      <c r="B55" s="49"/>
      <c r="C55" s="43"/>
      <c r="D55" s="45" t="str">
        <f t="shared" si="0"/>
        <v/>
      </c>
      <c r="E55" s="46" t="str">
        <f>IF(OR(A55="",B55=""),"",MAX(0,MIN(B55,Setup!$B$27+Setup!$B$10)-Setup!$B$10))</f>
        <v/>
      </c>
      <c r="F55" s="47" t="str">
        <f>IF(OR(A55="",B55=""),"",MAX(0,B55-Setup!$B$10))</f>
        <v/>
      </c>
    </row>
    <row r="56" spans="1:6" ht="15" customHeight="1">
      <c r="A56" s="48"/>
      <c r="B56" s="49"/>
      <c r="C56" s="43"/>
      <c r="D56" s="45" t="str">
        <f t="shared" si="0"/>
        <v/>
      </c>
      <c r="E56" s="46" t="str">
        <f>IF(OR(A56="",B56=""),"",MAX(0,MIN(B56,Setup!$B$27+Setup!$B$10)-Setup!$B$10))</f>
        <v/>
      </c>
      <c r="F56" s="47" t="str">
        <f>IF(OR(A56="",B56=""),"",MAX(0,B56-Setup!$B$10))</f>
        <v/>
      </c>
    </row>
    <row r="57" spans="1:6" ht="15" customHeight="1">
      <c r="A57" s="48"/>
      <c r="B57" s="49"/>
      <c r="C57" s="43"/>
      <c r="D57" s="45" t="str">
        <f t="shared" si="0"/>
        <v/>
      </c>
      <c r="E57" s="46" t="str">
        <f>IF(OR(A57="",B57=""),"",MAX(0,MIN(B57,Setup!$B$27+Setup!$B$10)-Setup!$B$10))</f>
        <v/>
      </c>
      <c r="F57" s="47" t="str">
        <f>IF(OR(A57="",B57=""),"",MAX(0,B57-Setup!$B$10))</f>
        <v/>
      </c>
    </row>
    <row r="58" spans="1:6" ht="15" customHeight="1">
      <c r="A58" s="48"/>
      <c r="B58" s="49"/>
      <c r="C58" s="43"/>
      <c r="D58" s="45" t="str">
        <f t="shared" si="0"/>
        <v/>
      </c>
      <c r="E58" s="46" t="str">
        <f>IF(OR(A58="",B58=""),"",MAX(0,MIN(B58,Setup!$B$27+Setup!$B$10)-Setup!$B$10))</f>
        <v/>
      </c>
      <c r="F58" s="47" t="str">
        <f>IF(OR(A58="",B58=""),"",MAX(0,B58-Setup!$B$10))</f>
        <v/>
      </c>
    </row>
    <row r="59" spans="1:6" ht="15" customHeight="1">
      <c r="A59" s="48"/>
      <c r="B59" s="49"/>
      <c r="C59" s="43"/>
      <c r="D59" s="45" t="str">
        <f t="shared" si="0"/>
        <v/>
      </c>
      <c r="E59" s="46" t="str">
        <f>IF(OR(A59="",B59=""),"",MAX(0,MIN(B59,Setup!$B$27+Setup!$B$10)-Setup!$B$10))</f>
        <v/>
      </c>
      <c r="F59" s="47" t="str">
        <f>IF(OR(A59="",B59=""),"",MAX(0,B59-Setup!$B$10))</f>
        <v/>
      </c>
    </row>
    <row r="60" spans="1:6" ht="15" customHeight="1">
      <c r="A60" s="48"/>
      <c r="B60" s="49"/>
      <c r="C60" s="43"/>
      <c r="D60" s="45" t="str">
        <f t="shared" si="0"/>
        <v/>
      </c>
      <c r="E60" s="46" t="str">
        <f>IF(OR(A60="",B60=""),"",MAX(0,MIN(B60,Setup!$B$27+Setup!$B$10)-Setup!$B$10))</f>
        <v/>
      </c>
      <c r="F60" s="47" t="str">
        <f>IF(OR(A60="",B60=""),"",MAX(0,B60-Setup!$B$10))</f>
        <v/>
      </c>
    </row>
    <row r="61" spans="1:6" ht="15" customHeight="1">
      <c r="A61" s="48"/>
      <c r="B61" s="49"/>
      <c r="C61" s="43"/>
      <c r="D61" s="45" t="str">
        <f t="shared" si="0"/>
        <v/>
      </c>
      <c r="E61" s="46" t="str">
        <f>IF(OR(A61="",B61=""),"",MAX(0,MIN(B61,Setup!$B$27+Setup!$B$10)-Setup!$B$10))</f>
        <v/>
      </c>
      <c r="F61" s="47" t="str">
        <f>IF(OR(A61="",B61=""),"",MAX(0,B61-Setup!$B$10))</f>
        <v/>
      </c>
    </row>
    <row r="62" spans="1:6" ht="15" customHeight="1">
      <c r="A62" s="48"/>
      <c r="B62" s="49"/>
      <c r="C62" s="43"/>
      <c r="D62" s="45" t="str">
        <f t="shared" si="0"/>
        <v/>
      </c>
      <c r="E62" s="46" t="str">
        <f>IF(OR(A62="",B62=""),"",MAX(0,MIN(B62,Setup!$B$27+Setup!$B$10)-Setup!$B$10))</f>
        <v/>
      </c>
      <c r="F62" s="47" t="str">
        <f>IF(OR(A62="",B62=""),"",MAX(0,B62-Setup!$B$10))</f>
        <v/>
      </c>
    </row>
    <row r="63" spans="1:6" ht="15" customHeight="1">
      <c r="A63" s="48"/>
      <c r="B63" s="49"/>
      <c r="C63" s="43"/>
      <c r="D63" s="45" t="str">
        <f t="shared" si="0"/>
        <v/>
      </c>
      <c r="E63" s="46" t="str">
        <f>IF(OR(A63="",B63=""),"",MAX(0,MIN(B63,Setup!$B$27+Setup!$B$10)-Setup!$B$10))</f>
        <v/>
      </c>
      <c r="F63" s="47" t="str">
        <f>IF(OR(A63="",B63=""),"",MAX(0,B63-Setup!$B$10))</f>
        <v/>
      </c>
    </row>
    <row r="64" spans="1:6" ht="15" customHeight="1">
      <c r="A64" s="48"/>
      <c r="B64" s="49"/>
      <c r="C64" s="43"/>
      <c r="D64" s="45" t="str">
        <f t="shared" si="0"/>
        <v/>
      </c>
      <c r="E64" s="46" t="str">
        <f>IF(OR(A64="",B64=""),"",MAX(0,MIN(B64,Setup!$B$27+Setup!$B$10)-Setup!$B$10))</f>
        <v/>
      </c>
      <c r="F64" s="47" t="str">
        <f>IF(OR(A64="",B64=""),"",MAX(0,B64-Setup!$B$10))</f>
        <v/>
      </c>
    </row>
    <row r="65" spans="1:6" ht="15" customHeight="1">
      <c r="A65" s="48"/>
      <c r="B65" s="49"/>
      <c r="C65" s="43"/>
      <c r="D65" s="45" t="str">
        <f t="shared" si="0"/>
        <v/>
      </c>
      <c r="E65" s="46" t="str">
        <f>IF(OR(A65="",B65=""),"",MAX(0,MIN(B65,Setup!$B$27+Setup!$B$10)-Setup!$B$10))</f>
        <v/>
      </c>
      <c r="F65" s="47" t="str">
        <f>IF(OR(A65="",B65=""),"",MAX(0,B65-Setup!$B$10))</f>
        <v/>
      </c>
    </row>
    <row r="66" spans="1:6" ht="15" customHeight="1">
      <c r="A66" s="48"/>
      <c r="B66" s="49"/>
      <c r="C66" s="43"/>
      <c r="D66" s="45" t="str">
        <f t="shared" si="0"/>
        <v/>
      </c>
      <c r="E66" s="46" t="str">
        <f>IF(OR(A66="",B66=""),"",MAX(0,MIN(B66,Setup!$B$27+Setup!$B$10)-Setup!$B$10))</f>
        <v/>
      </c>
      <c r="F66" s="47" t="str">
        <f>IF(OR(A66="",B66=""),"",MAX(0,B66-Setup!$B$10))</f>
        <v/>
      </c>
    </row>
    <row r="67" spans="1:6" ht="15" customHeight="1">
      <c r="A67" s="48"/>
      <c r="B67" s="49"/>
      <c r="C67" s="43"/>
      <c r="D67" s="45" t="str">
        <f t="shared" ref="D67:D130" si="1">IF(A67="","",YEAR(A67))</f>
        <v/>
      </c>
      <c r="E67" s="46" t="str">
        <f>IF(OR(A67="",B67=""),"",MAX(0,MIN(B67,Setup!$B$27+Setup!$B$10)-Setup!$B$10))</f>
        <v/>
      </c>
      <c r="F67" s="47" t="str">
        <f>IF(OR(A67="",B67=""),"",MAX(0,B67-Setup!$B$10))</f>
        <v/>
      </c>
    </row>
    <row r="68" spans="1:6" ht="15" customHeight="1">
      <c r="A68" s="48"/>
      <c r="B68" s="49"/>
      <c r="C68" s="43"/>
      <c r="D68" s="45" t="str">
        <f t="shared" si="1"/>
        <v/>
      </c>
      <c r="E68" s="46" t="str">
        <f>IF(OR(A68="",B68=""),"",MAX(0,MIN(B68,Setup!$B$27+Setup!$B$10)-Setup!$B$10))</f>
        <v/>
      </c>
      <c r="F68" s="47" t="str">
        <f>IF(OR(A68="",B68=""),"",MAX(0,B68-Setup!$B$10))</f>
        <v/>
      </c>
    </row>
    <row r="69" spans="1:6" ht="15" customHeight="1">
      <c r="A69" s="48"/>
      <c r="B69" s="49"/>
      <c r="C69" s="43"/>
      <c r="D69" s="45" t="str">
        <f t="shared" si="1"/>
        <v/>
      </c>
      <c r="E69" s="46" t="str">
        <f>IF(OR(A69="",B69=""),"",MAX(0,MIN(B69,Setup!$B$27+Setup!$B$10)-Setup!$B$10))</f>
        <v/>
      </c>
      <c r="F69" s="47" t="str">
        <f>IF(OR(A69="",B69=""),"",MAX(0,B69-Setup!$B$10))</f>
        <v/>
      </c>
    </row>
    <row r="70" spans="1:6" ht="15" customHeight="1">
      <c r="A70" s="48"/>
      <c r="B70" s="49"/>
      <c r="C70" s="43"/>
      <c r="D70" s="45" t="str">
        <f t="shared" si="1"/>
        <v/>
      </c>
      <c r="E70" s="46" t="str">
        <f>IF(OR(A70="",B70=""),"",MAX(0,MIN(B70,Setup!$B$27+Setup!$B$10)-Setup!$B$10))</f>
        <v/>
      </c>
      <c r="F70" s="47" t="str">
        <f>IF(OR(A70="",B70=""),"",MAX(0,B70-Setup!$B$10))</f>
        <v/>
      </c>
    </row>
    <row r="71" spans="1:6" ht="15" customHeight="1">
      <c r="A71" s="48"/>
      <c r="B71" s="49"/>
      <c r="C71" s="43"/>
      <c r="D71" s="45" t="str">
        <f t="shared" si="1"/>
        <v/>
      </c>
      <c r="E71" s="46" t="str">
        <f>IF(OR(A71="",B71=""),"",MAX(0,MIN(B71,Setup!$B$27+Setup!$B$10)-Setup!$B$10))</f>
        <v/>
      </c>
      <c r="F71" s="47" t="str">
        <f>IF(OR(A71="",B71=""),"",MAX(0,B71-Setup!$B$10))</f>
        <v/>
      </c>
    </row>
    <row r="72" spans="1:6" ht="15" customHeight="1">
      <c r="A72" s="48"/>
      <c r="B72" s="49"/>
      <c r="C72" s="43"/>
      <c r="D72" s="45" t="str">
        <f t="shared" si="1"/>
        <v/>
      </c>
      <c r="E72" s="46" t="str">
        <f>IF(OR(A72="",B72=""),"",MAX(0,MIN(B72,Setup!$B$27+Setup!$B$10)-Setup!$B$10))</f>
        <v/>
      </c>
      <c r="F72" s="47" t="str">
        <f>IF(OR(A72="",B72=""),"",MAX(0,B72-Setup!$B$10))</f>
        <v/>
      </c>
    </row>
    <row r="73" spans="1:6" ht="15" customHeight="1">
      <c r="A73" s="48"/>
      <c r="B73" s="49"/>
      <c r="C73" s="43"/>
      <c r="D73" s="45" t="str">
        <f t="shared" si="1"/>
        <v/>
      </c>
      <c r="E73" s="46" t="str">
        <f>IF(OR(A73="",B73=""),"",MAX(0,MIN(B73,Setup!$B$27+Setup!$B$10)-Setup!$B$10))</f>
        <v/>
      </c>
      <c r="F73" s="47" t="str">
        <f>IF(OR(A73="",B73=""),"",MAX(0,B73-Setup!$B$10))</f>
        <v/>
      </c>
    </row>
    <row r="74" spans="1:6" ht="15" customHeight="1">
      <c r="A74" s="48"/>
      <c r="B74" s="49"/>
      <c r="C74" s="43"/>
      <c r="D74" s="45" t="str">
        <f t="shared" si="1"/>
        <v/>
      </c>
      <c r="E74" s="46" t="str">
        <f>IF(OR(A74="",B74=""),"",MAX(0,MIN(B74,Setup!$B$27+Setup!$B$10)-Setup!$B$10))</f>
        <v/>
      </c>
      <c r="F74" s="47" t="str">
        <f>IF(OR(A74="",B74=""),"",MAX(0,B74-Setup!$B$10))</f>
        <v/>
      </c>
    </row>
    <row r="75" spans="1:6" ht="15" customHeight="1">
      <c r="A75" s="48"/>
      <c r="B75" s="49"/>
      <c r="C75" s="43"/>
      <c r="D75" s="45" t="str">
        <f t="shared" si="1"/>
        <v/>
      </c>
      <c r="E75" s="46" t="str">
        <f>IF(OR(A75="",B75=""),"",MAX(0,MIN(B75,Setup!$B$27+Setup!$B$10)-Setup!$B$10))</f>
        <v/>
      </c>
      <c r="F75" s="47" t="str">
        <f>IF(OR(A75="",B75=""),"",MAX(0,B75-Setup!$B$10))</f>
        <v/>
      </c>
    </row>
    <row r="76" spans="1:6" ht="15" customHeight="1">
      <c r="A76" s="48"/>
      <c r="B76" s="49"/>
      <c r="C76" s="43"/>
      <c r="D76" s="45" t="str">
        <f t="shared" si="1"/>
        <v/>
      </c>
      <c r="E76" s="46" t="str">
        <f>IF(OR(A76="",B76=""),"",MAX(0,MIN(B76,Setup!$B$27+Setup!$B$10)-Setup!$B$10))</f>
        <v/>
      </c>
      <c r="F76" s="47" t="str">
        <f>IF(OR(A76="",B76=""),"",MAX(0,B76-Setup!$B$10))</f>
        <v/>
      </c>
    </row>
    <row r="77" spans="1:6" ht="15" customHeight="1">
      <c r="A77" s="48"/>
      <c r="B77" s="49"/>
      <c r="C77" s="43"/>
      <c r="D77" s="45" t="str">
        <f t="shared" si="1"/>
        <v/>
      </c>
      <c r="E77" s="46" t="str">
        <f>IF(OR(A77="",B77=""),"",MAX(0,MIN(B77,Setup!$B$27+Setup!$B$10)-Setup!$B$10))</f>
        <v/>
      </c>
      <c r="F77" s="47" t="str">
        <f>IF(OR(A77="",B77=""),"",MAX(0,B77-Setup!$B$10))</f>
        <v/>
      </c>
    </row>
    <row r="78" spans="1:6" ht="15" customHeight="1">
      <c r="A78" s="48"/>
      <c r="B78" s="49"/>
      <c r="C78" s="43"/>
      <c r="D78" s="45" t="str">
        <f t="shared" si="1"/>
        <v/>
      </c>
      <c r="E78" s="46" t="str">
        <f>IF(OR(A78="",B78=""),"",MAX(0,MIN(B78,Setup!$B$27+Setup!$B$10)-Setup!$B$10))</f>
        <v/>
      </c>
      <c r="F78" s="47" t="str">
        <f>IF(OR(A78="",B78=""),"",MAX(0,B78-Setup!$B$10))</f>
        <v/>
      </c>
    </row>
    <row r="79" spans="1:6" ht="15" customHeight="1">
      <c r="A79" s="48"/>
      <c r="B79" s="49"/>
      <c r="C79" s="43"/>
      <c r="D79" s="45" t="str">
        <f t="shared" si="1"/>
        <v/>
      </c>
      <c r="E79" s="46" t="str">
        <f>IF(OR(A79="",B79=""),"",MAX(0,MIN(B79,Setup!$B$27+Setup!$B$10)-Setup!$B$10))</f>
        <v/>
      </c>
      <c r="F79" s="47" t="str">
        <f>IF(OR(A79="",B79=""),"",MAX(0,B79-Setup!$B$10))</f>
        <v/>
      </c>
    </row>
    <row r="80" spans="1:6" ht="15" customHeight="1">
      <c r="A80" s="48"/>
      <c r="B80" s="49"/>
      <c r="C80" s="43"/>
      <c r="D80" s="45" t="str">
        <f t="shared" si="1"/>
        <v/>
      </c>
      <c r="E80" s="46" t="str">
        <f>IF(OR(A80="",B80=""),"",MAX(0,MIN(B80,Setup!$B$27+Setup!$B$10)-Setup!$B$10))</f>
        <v/>
      </c>
      <c r="F80" s="47" t="str">
        <f>IF(OR(A80="",B80=""),"",MAX(0,B80-Setup!$B$10))</f>
        <v/>
      </c>
    </row>
    <row r="81" spans="1:6" ht="15" customHeight="1">
      <c r="A81" s="48"/>
      <c r="B81" s="49"/>
      <c r="C81" s="43"/>
      <c r="D81" s="45" t="str">
        <f t="shared" si="1"/>
        <v/>
      </c>
      <c r="E81" s="46" t="str">
        <f>IF(OR(A81="",B81=""),"",MAX(0,MIN(B81,Setup!$B$27+Setup!$B$10)-Setup!$B$10))</f>
        <v/>
      </c>
      <c r="F81" s="47" t="str">
        <f>IF(OR(A81="",B81=""),"",MAX(0,B81-Setup!$B$10))</f>
        <v/>
      </c>
    </row>
    <row r="82" spans="1:6" ht="15" customHeight="1">
      <c r="A82" s="48"/>
      <c r="B82" s="49"/>
      <c r="C82" s="43"/>
      <c r="D82" s="45" t="str">
        <f t="shared" si="1"/>
        <v/>
      </c>
      <c r="E82" s="46" t="str">
        <f>IF(OR(A82="",B82=""),"",MAX(0,MIN(B82,Setup!$B$27+Setup!$B$10)-Setup!$B$10))</f>
        <v/>
      </c>
      <c r="F82" s="47" t="str">
        <f>IF(OR(A82="",B82=""),"",MAX(0,B82-Setup!$B$10))</f>
        <v/>
      </c>
    </row>
    <row r="83" spans="1:6" ht="15" customHeight="1">
      <c r="A83" s="48"/>
      <c r="B83" s="49"/>
      <c r="C83" s="43"/>
      <c r="D83" s="45" t="str">
        <f t="shared" si="1"/>
        <v/>
      </c>
      <c r="E83" s="46" t="str">
        <f>IF(OR(A83="",B83=""),"",MAX(0,MIN(B83,Setup!$B$27+Setup!$B$10)-Setup!$B$10))</f>
        <v/>
      </c>
      <c r="F83" s="47" t="str">
        <f>IF(OR(A83="",B83=""),"",MAX(0,B83-Setup!$B$10))</f>
        <v/>
      </c>
    </row>
    <row r="84" spans="1:6" ht="15" customHeight="1">
      <c r="A84" s="48"/>
      <c r="B84" s="49"/>
      <c r="C84" s="43"/>
      <c r="D84" s="45" t="str">
        <f t="shared" si="1"/>
        <v/>
      </c>
      <c r="E84" s="46" t="str">
        <f>IF(OR(A84="",B84=""),"",MAX(0,MIN(B84,Setup!$B$27+Setup!$B$10)-Setup!$B$10))</f>
        <v/>
      </c>
      <c r="F84" s="47" t="str">
        <f>IF(OR(A84="",B84=""),"",MAX(0,B84-Setup!$B$10))</f>
        <v/>
      </c>
    </row>
    <row r="85" spans="1:6" ht="15" customHeight="1">
      <c r="A85" s="48"/>
      <c r="B85" s="49"/>
      <c r="C85" s="43"/>
      <c r="D85" s="45" t="str">
        <f t="shared" si="1"/>
        <v/>
      </c>
      <c r="E85" s="46" t="str">
        <f>IF(OR(A85="",B85=""),"",MAX(0,MIN(B85,Setup!$B$27+Setup!$B$10)-Setup!$B$10))</f>
        <v/>
      </c>
      <c r="F85" s="47" t="str">
        <f>IF(OR(A85="",B85=""),"",MAX(0,B85-Setup!$B$10))</f>
        <v/>
      </c>
    </row>
    <row r="86" spans="1:6" ht="15" customHeight="1">
      <c r="A86" s="48"/>
      <c r="B86" s="49"/>
      <c r="C86" s="43"/>
      <c r="D86" s="45" t="str">
        <f t="shared" si="1"/>
        <v/>
      </c>
      <c r="E86" s="46" t="str">
        <f>IF(OR(A86="",B86=""),"",MAX(0,MIN(B86,Setup!$B$27+Setup!$B$10)-Setup!$B$10))</f>
        <v/>
      </c>
      <c r="F86" s="47" t="str">
        <f>IF(OR(A86="",B86=""),"",MAX(0,B86-Setup!$B$10))</f>
        <v/>
      </c>
    </row>
    <row r="87" spans="1:6" ht="15" customHeight="1">
      <c r="A87" s="48"/>
      <c r="B87" s="49"/>
      <c r="C87" s="43"/>
      <c r="D87" s="45" t="str">
        <f t="shared" si="1"/>
        <v/>
      </c>
      <c r="E87" s="46" t="str">
        <f>IF(OR(A87="",B87=""),"",MAX(0,MIN(B87,Setup!$B$27+Setup!$B$10)-Setup!$B$10))</f>
        <v/>
      </c>
      <c r="F87" s="47" t="str">
        <f>IF(OR(A87="",B87=""),"",MAX(0,B87-Setup!$B$10))</f>
        <v/>
      </c>
    </row>
    <row r="88" spans="1:6" ht="15" customHeight="1">
      <c r="A88" s="48"/>
      <c r="B88" s="49"/>
      <c r="C88" s="43"/>
      <c r="D88" s="45" t="str">
        <f t="shared" si="1"/>
        <v/>
      </c>
      <c r="E88" s="46" t="str">
        <f>IF(OR(A88="",B88=""),"",MAX(0,MIN(B88,Setup!$B$27+Setup!$B$10)-Setup!$B$10))</f>
        <v/>
      </c>
      <c r="F88" s="47" t="str">
        <f>IF(OR(A88="",B88=""),"",MAX(0,B88-Setup!$B$10))</f>
        <v/>
      </c>
    </row>
    <row r="89" spans="1:6" ht="15" customHeight="1">
      <c r="A89" s="48"/>
      <c r="B89" s="49"/>
      <c r="C89" s="43"/>
      <c r="D89" s="45" t="str">
        <f t="shared" si="1"/>
        <v/>
      </c>
      <c r="E89" s="46" t="str">
        <f>IF(OR(A89="",B89=""),"",MAX(0,MIN(B89,Setup!$B$27+Setup!$B$10)-Setup!$B$10))</f>
        <v/>
      </c>
      <c r="F89" s="47" t="str">
        <f>IF(OR(A89="",B89=""),"",MAX(0,B89-Setup!$B$10))</f>
        <v/>
      </c>
    </row>
    <row r="90" spans="1:6" ht="15" customHeight="1">
      <c r="A90" s="48"/>
      <c r="B90" s="49"/>
      <c r="C90" s="43"/>
      <c r="D90" s="45" t="str">
        <f t="shared" si="1"/>
        <v/>
      </c>
      <c r="E90" s="46" t="str">
        <f>IF(OR(A90="",B90=""),"",MAX(0,MIN(B90,Setup!$B$27+Setup!$B$10)-Setup!$B$10))</f>
        <v/>
      </c>
      <c r="F90" s="47" t="str">
        <f>IF(OR(A90="",B90=""),"",MAX(0,B90-Setup!$B$10))</f>
        <v/>
      </c>
    </row>
    <row r="91" spans="1:6" ht="15" customHeight="1">
      <c r="A91" s="48"/>
      <c r="B91" s="49"/>
      <c r="C91" s="43"/>
      <c r="D91" s="45" t="str">
        <f t="shared" si="1"/>
        <v/>
      </c>
      <c r="E91" s="46" t="str">
        <f>IF(OR(A91="",B91=""),"",MAX(0,MIN(B91,Setup!$B$27+Setup!$B$10)-Setup!$B$10))</f>
        <v/>
      </c>
      <c r="F91" s="47" t="str">
        <f>IF(OR(A91="",B91=""),"",MAX(0,B91-Setup!$B$10))</f>
        <v/>
      </c>
    </row>
    <row r="92" spans="1:6" ht="15" customHeight="1">
      <c r="A92" s="48"/>
      <c r="B92" s="49"/>
      <c r="C92" s="43"/>
      <c r="D92" s="45" t="str">
        <f t="shared" si="1"/>
        <v/>
      </c>
      <c r="E92" s="46" t="str">
        <f>IF(OR(A92="",B92=""),"",MAX(0,MIN(B92,Setup!$B$27+Setup!$B$10)-Setup!$B$10))</f>
        <v/>
      </c>
      <c r="F92" s="47" t="str">
        <f>IF(OR(A92="",B92=""),"",MAX(0,B92-Setup!$B$10))</f>
        <v/>
      </c>
    </row>
    <row r="93" spans="1:6" ht="15" customHeight="1">
      <c r="A93" s="48"/>
      <c r="B93" s="49"/>
      <c r="C93" s="43"/>
      <c r="D93" s="45" t="str">
        <f t="shared" si="1"/>
        <v/>
      </c>
      <c r="E93" s="46" t="str">
        <f>IF(OR(A93="",B93=""),"",MAX(0,MIN(B93,Setup!$B$27+Setup!$B$10)-Setup!$B$10))</f>
        <v/>
      </c>
      <c r="F93" s="47" t="str">
        <f>IF(OR(A93="",B93=""),"",MAX(0,B93-Setup!$B$10))</f>
        <v/>
      </c>
    </row>
    <row r="94" spans="1:6" ht="15" customHeight="1">
      <c r="A94" s="48"/>
      <c r="B94" s="49"/>
      <c r="C94" s="43"/>
      <c r="D94" s="45" t="str">
        <f t="shared" si="1"/>
        <v/>
      </c>
      <c r="E94" s="46" t="str">
        <f>IF(OR(A94="",B94=""),"",MAX(0,MIN(B94,Setup!$B$27+Setup!$B$10)-Setup!$B$10))</f>
        <v/>
      </c>
      <c r="F94" s="47" t="str">
        <f>IF(OR(A94="",B94=""),"",MAX(0,B94-Setup!$B$10))</f>
        <v/>
      </c>
    </row>
    <row r="95" spans="1:6" ht="15" customHeight="1">
      <c r="A95" s="48"/>
      <c r="B95" s="49"/>
      <c r="C95" s="43"/>
      <c r="D95" s="45" t="str">
        <f t="shared" si="1"/>
        <v/>
      </c>
      <c r="E95" s="46" t="str">
        <f>IF(OR(A95="",B95=""),"",MAX(0,MIN(B95,Setup!$B$27+Setup!$B$10)-Setup!$B$10))</f>
        <v/>
      </c>
      <c r="F95" s="47" t="str">
        <f>IF(OR(A95="",B95=""),"",MAX(0,B95-Setup!$B$10))</f>
        <v/>
      </c>
    </row>
    <row r="96" spans="1:6" ht="15" customHeight="1">
      <c r="A96" s="48"/>
      <c r="B96" s="49"/>
      <c r="C96" s="43"/>
      <c r="D96" s="45" t="str">
        <f t="shared" si="1"/>
        <v/>
      </c>
      <c r="E96" s="46" t="str">
        <f>IF(OR(A96="",B96=""),"",MAX(0,MIN(B96,Setup!$B$27+Setup!$B$10)-Setup!$B$10))</f>
        <v/>
      </c>
      <c r="F96" s="47" t="str">
        <f>IF(OR(A96="",B96=""),"",MAX(0,B96-Setup!$B$10))</f>
        <v/>
      </c>
    </row>
    <row r="97" spans="1:6" ht="15" customHeight="1">
      <c r="A97" s="48"/>
      <c r="B97" s="49"/>
      <c r="C97" s="43"/>
      <c r="D97" s="45" t="str">
        <f t="shared" si="1"/>
        <v/>
      </c>
      <c r="E97" s="46" t="str">
        <f>IF(OR(A97="",B97=""),"",MAX(0,MIN(B97,Setup!$B$27+Setup!$B$10)-Setup!$B$10))</f>
        <v/>
      </c>
      <c r="F97" s="47" t="str">
        <f>IF(OR(A97="",B97=""),"",MAX(0,B97-Setup!$B$10))</f>
        <v/>
      </c>
    </row>
    <row r="98" spans="1:6" ht="15" customHeight="1">
      <c r="A98" s="48"/>
      <c r="B98" s="49"/>
      <c r="C98" s="43"/>
      <c r="D98" s="45" t="str">
        <f t="shared" si="1"/>
        <v/>
      </c>
      <c r="E98" s="46" t="str">
        <f>IF(OR(A98="",B98=""),"",MAX(0,MIN(B98,Setup!$B$27+Setup!$B$10)-Setup!$B$10))</f>
        <v/>
      </c>
      <c r="F98" s="47" t="str">
        <f>IF(OR(A98="",B98=""),"",MAX(0,B98-Setup!$B$10))</f>
        <v/>
      </c>
    </row>
    <row r="99" spans="1:6" ht="15" customHeight="1">
      <c r="A99" s="48"/>
      <c r="B99" s="49"/>
      <c r="C99" s="43"/>
      <c r="D99" s="45" t="str">
        <f t="shared" si="1"/>
        <v/>
      </c>
      <c r="E99" s="46" t="str">
        <f>IF(OR(A99="",B99=""),"",MAX(0,MIN(B99,Setup!$B$27+Setup!$B$10)-Setup!$B$10))</f>
        <v/>
      </c>
      <c r="F99" s="47" t="str">
        <f>IF(OR(A99="",B99=""),"",MAX(0,B99-Setup!$B$10))</f>
        <v/>
      </c>
    </row>
    <row r="100" spans="1:6" ht="15" customHeight="1">
      <c r="A100" s="48"/>
      <c r="B100" s="49"/>
      <c r="C100" s="43"/>
      <c r="D100" s="45" t="str">
        <f t="shared" si="1"/>
        <v/>
      </c>
      <c r="E100" s="46" t="str">
        <f>IF(OR(A100="",B100=""),"",MAX(0,MIN(B100,Setup!$B$27+Setup!$B$10)-Setup!$B$10))</f>
        <v/>
      </c>
      <c r="F100" s="47" t="str">
        <f>IF(OR(A100="",B100=""),"",MAX(0,B100-Setup!$B$10))</f>
        <v/>
      </c>
    </row>
    <row r="101" spans="1:6" ht="15" customHeight="1">
      <c r="A101" s="48"/>
      <c r="B101" s="49"/>
      <c r="C101" s="43"/>
      <c r="D101" s="45" t="str">
        <f t="shared" si="1"/>
        <v/>
      </c>
      <c r="E101" s="46" t="str">
        <f>IF(OR(A101="",B101=""),"",MAX(0,MIN(B101,Setup!$B$27+Setup!$B$10)-Setup!$B$10))</f>
        <v/>
      </c>
      <c r="F101" s="47" t="str">
        <f>IF(OR(A101="",B101=""),"",MAX(0,B101-Setup!$B$10))</f>
        <v/>
      </c>
    </row>
    <row r="102" spans="1:6" ht="15" customHeight="1">
      <c r="A102" s="48"/>
      <c r="B102" s="49"/>
      <c r="C102" s="43"/>
      <c r="D102" s="45" t="str">
        <f t="shared" si="1"/>
        <v/>
      </c>
      <c r="E102" s="46" t="str">
        <f>IF(OR(A102="",B102=""),"",MAX(0,MIN(B102,Setup!$B$27+Setup!$B$10)-Setup!$B$10))</f>
        <v/>
      </c>
      <c r="F102" s="47" t="str">
        <f>IF(OR(A102="",B102=""),"",MAX(0,B102-Setup!$B$10))</f>
        <v/>
      </c>
    </row>
    <row r="103" spans="1:6" ht="15" customHeight="1">
      <c r="A103" s="48"/>
      <c r="B103" s="49"/>
      <c r="C103" s="43"/>
      <c r="D103" s="45" t="str">
        <f t="shared" si="1"/>
        <v/>
      </c>
      <c r="E103" s="46" t="str">
        <f>IF(OR(A103="",B103=""),"",MAX(0,MIN(B103,Setup!$B$27+Setup!$B$10)-Setup!$B$10))</f>
        <v/>
      </c>
      <c r="F103" s="47" t="str">
        <f>IF(OR(A103="",B103=""),"",MAX(0,B103-Setup!$B$10))</f>
        <v/>
      </c>
    </row>
    <row r="104" spans="1:6" ht="15" customHeight="1">
      <c r="A104" s="48"/>
      <c r="B104" s="49"/>
      <c r="C104" s="43"/>
      <c r="D104" s="45" t="str">
        <f t="shared" si="1"/>
        <v/>
      </c>
      <c r="E104" s="46" t="str">
        <f>IF(OR(A104="",B104=""),"",MAX(0,MIN(B104,Setup!$B$27+Setup!$B$10)-Setup!$B$10))</f>
        <v/>
      </c>
      <c r="F104" s="47" t="str">
        <f>IF(OR(A104="",B104=""),"",MAX(0,B104-Setup!$B$10))</f>
        <v/>
      </c>
    </row>
    <row r="105" spans="1:6" ht="15" customHeight="1">
      <c r="A105" s="48"/>
      <c r="B105" s="49"/>
      <c r="C105" s="43"/>
      <c r="D105" s="45" t="str">
        <f t="shared" si="1"/>
        <v/>
      </c>
      <c r="E105" s="46" t="str">
        <f>IF(OR(A105="",B105=""),"",MAX(0,MIN(B105,Setup!$B$27+Setup!$B$10)-Setup!$B$10))</f>
        <v/>
      </c>
      <c r="F105" s="47" t="str">
        <f>IF(OR(A105="",B105=""),"",MAX(0,B105-Setup!$B$10))</f>
        <v/>
      </c>
    </row>
    <row r="106" spans="1:6" ht="15" customHeight="1">
      <c r="A106" s="48"/>
      <c r="B106" s="49"/>
      <c r="C106" s="43"/>
      <c r="D106" s="45" t="str">
        <f t="shared" si="1"/>
        <v/>
      </c>
      <c r="E106" s="46" t="str">
        <f>IF(OR(A106="",B106=""),"",MAX(0,MIN(B106,Setup!$B$27+Setup!$B$10)-Setup!$B$10))</f>
        <v/>
      </c>
      <c r="F106" s="47" t="str">
        <f>IF(OR(A106="",B106=""),"",MAX(0,B106-Setup!$B$10))</f>
        <v/>
      </c>
    </row>
    <row r="107" spans="1:6" ht="15" customHeight="1">
      <c r="A107" s="48"/>
      <c r="B107" s="49"/>
      <c r="C107" s="43"/>
      <c r="D107" s="45" t="str">
        <f t="shared" si="1"/>
        <v/>
      </c>
      <c r="E107" s="46" t="str">
        <f>IF(OR(A107="",B107=""),"",MAX(0,MIN(B107,Setup!$B$27+Setup!$B$10)-Setup!$B$10))</f>
        <v/>
      </c>
      <c r="F107" s="47" t="str">
        <f>IF(OR(A107="",B107=""),"",MAX(0,B107-Setup!$B$10))</f>
        <v/>
      </c>
    </row>
    <row r="108" spans="1:6" ht="15" customHeight="1">
      <c r="A108" s="48"/>
      <c r="B108" s="49"/>
      <c r="C108" s="43"/>
      <c r="D108" s="45" t="str">
        <f t="shared" si="1"/>
        <v/>
      </c>
      <c r="E108" s="46" t="str">
        <f>IF(OR(A108="",B108=""),"",MAX(0,MIN(B108,Setup!$B$27+Setup!$B$10)-Setup!$B$10))</f>
        <v/>
      </c>
      <c r="F108" s="47" t="str">
        <f>IF(OR(A108="",B108=""),"",MAX(0,B108-Setup!$B$10))</f>
        <v/>
      </c>
    </row>
    <row r="109" spans="1:6" ht="15" customHeight="1">
      <c r="A109" s="48"/>
      <c r="B109" s="49"/>
      <c r="C109" s="43"/>
      <c r="D109" s="45" t="str">
        <f t="shared" si="1"/>
        <v/>
      </c>
      <c r="E109" s="46" t="str">
        <f>IF(OR(A109="",B109=""),"",MAX(0,MIN(B109,Setup!$B$27+Setup!$B$10)-Setup!$B$10))</f>
        <v/>
      </c>
      <c r="F109" s="47" t="str">
        <f>IF(OR(A109="",B109=""),"",MAX(0,B109-Setup!$B$10))</f>
        <v/>
      </c>
    </row>
    <row r="110" spans="1:6" ht="15" customHeight="1">
      <c r="A110" s="48"/>
      <c r="B110" s="49"/>
      <c r="C110" s="43"/>
      <c r="D110" s="45" t="str">
        <f t="shared" si="1"/>
        <v/>
      </c>
      <c r="E110" s="46" t="str">
        <f>IF(OR(A110="",B110=""),"",MAX(0,MIN(B110,Setup!$B$27+Setup!$B$10)-Setup!$B$10))</f>
        <v/>
      </c>
      <c r="F110" s="47" t="str">
        <f>IF(OR(A110="",B110=""),"",MAX(0,B110-Setup!$B$10))</f>
        <v/>
      </c>
    </row>
    <row r="111" spans="1:6" ht="15" customHeight="1">
      <c r="A111" s="48"/>
      <c r="B111" s="49"/>
      <c r="C111" s="43"/>
      <c r="D111" s="45" t="str">
        <f t="shared" si="1"/>
        <v/>
      </c>
      <c r="E111" s="46" t="str">
        <f>IF(OR(A111="",B111=""),"",MAX(0,MIN(B111,Setup!$B$27+Setup!$B$10)-Setup!$B$10))</f>
        <v/>
      </c>
      <c r="F111" s="47" t="str">
        <f>IF(OR(A111="",B111=""),"",MAX(0,B111-Setup!$B$10))</f>
        <v/>
      </c>
    </row>
    <row r="112" spans="1:6" ht="15" customHeight="1">
      <c r="A112" s="48"/>
      <c r="B112" s="49"/>
      <c r="C112" s="43"/>
      <c r="D112" s="45" t="str">
        <f t="shared" si="1"/>
        <v/>
      </c>
      <c r="E112" s="46" t="str">
        <f>IF(OR(A112="",B112=""),"",MAX(0,MIN(B112,Setup!$B$27+Setup!$B$10)-Setup!$B$10))</f>
        <v/>
      </c>
      <c r="F112" s="47" t="str">
        <f>IF(OR(A112="",B112=""),"",MAX(0,B112-Setup!$B$10))</f>
        <v/>
      </c>
    </row>
    <row r="113" spans="1:6" ht="15" customHeight="1">
      <c r="A113" s="48"/>
      <c r="B113" s="49"/>
      <c r="C113" s="43"/>
      <c r="D113" s="45" t="str">
        <f t="shared" si="1"/>
        <v/>
      </c>
      <c r="E113" s="46" t="str">
        <f>IF(OR(A113="",B113=""),"",MAX(0,MIN(B113,Setup!$B$27+Setup!$B$10)-Setup!$B$10))</f>
        <v/>
      </c>
      <c r="F113" s="47" t="str">
        <f>IF(OR(A113="",B113=""),"",MAX(0,B113-Setup!$B$10))</f>
        <v/>
      </c>
    </row>
    <row r="114" spans="1:6" ht="15" customHeight="1">
      <c r="A114" s="48"/>
      <c r="B114" s="49"/>
      <c r="C114" s="43"/>
      <c r="D114" s="45" t="str">
        <f t="shared" si="1"/>
        <v/>
      </c>
      <c r="E114" s="46" t="str">
        <f>IF(OR(A114="",B114=""),"",MAX(0,MIN(B114,Setup!$B$27+Setup!$B$10)-Setup!$B$10))</f>
        <v/>
      </c>
      <c r="F114" s="47" t="str">
        <f>IF(OR(A114="",B114=""),"",MAX(0,B114-Setup!$B$10))</f>
        <v/>
      </c>
    </row>
    <row r="115" spans="1:6" ht="15" customHeight="1">
      <c r="A115" s="48"/>
      <c r="B115" s="49"/>
      <c r="C115" s="43"/>
      <c r="D115" s="45" t="str">
        <f t="shared" si="1"/>
        <v/>
      </c>
      <c r="E115" s="46" t="str">
        <f>IF(OR(A115="",B115=""),"",MAX(0,MIN(B115,Setup!$B$27+Setup!$B$10)-Setup!$B$10))</f>
        <v/>
      </c>
      <c r="F115" s="47" t="str">
        <f>IF(OR(A115="",B115=""),"",MAX(0,B115-Setup!$B$10))</f>
        <v/>
      </c>
    </row>
    <row r="116" spans="1:6" ht="15" customHeight="1">
      <c r="A116" s="48"/>
      <c r="B116" s="49"/>
      <c r="C116" s="43"/>
      <c r="D116" s="45" t="str">
        <f t="shared" si="1"/>
        <v/>
      </c>
      <c r="E116" s="46" t="str">
        <f>IF(OR(A116="",B116=""),"",MAX(0,MIN(B116,Setup!$B$27+Setup!$B$10)-Setup!$B$10))</f>
        <v/>
      </c>
      <c r="F116" s="47" t="str">
        <f>IF(OR(A116="",B116=""),"",MAX(0,B116-Setup!$B$10))</f>
        <v/>
      </c>
    </row>
    <row r="117" spans="1:6" ht="15" customHeight="1">
      <c r="A117" s="48"/>
      <c r="B117" s="49"/>
      <c r="C117" s="43"/>
      <c r="D117" s="45" t="str">
        <f t="shared" si="1"/>
        <v/>
      </c>
      <c r="E117" s="46" t="str">
        <f>IF(OR(A117="",B117=""),"",MAX(0,MIN(B117,Setup!$B$27+Setup!$B$10)-Setup!$B$10))</f>
        <v/>
      </c>
      <c r="F117" s="47" t="str">
        <f>IF(OR(A117="",B117=""),"",MAX(0,B117-Setup!$B$10))</f>
        <v/>
      </c>
    </row>
    <row r="118" spans="1:6" ht="15" customHeight="1">
      <c r="A118" s="48"/>
      <c r="B118" s="49"/>
      <c r="C118" s="43"/>
      <c r="D118" s="45" t="str">
        <f t="shared" si="1"/>
        <v/>
      </c>
      <c r="E118" s="46" t="str">
        <f>IF(OR(A118="",B118=""),"",MAX(0,MIN(B118,Setup!$B$27+Setup!$B$10)-Setup!$B$10))</f>
        <v/>
      </c>
      <c r="F118" s="47" t="str">
        <f>IF(OR(A118="",B118=""),"",MAX(0,B118-Setup!$B$10))</f>
        <v/>
      </c>
    </row>
    <row r="119" spans="1:6" ht="15" customHeight="1">
      <c r="A119" s="48"/>
      <c r="B119" s="49"/>
      <c r="C119" s="43"/>
      <c r="D119" s="45" t="str">
        <f t="shared" si="1"/>
        <v/>
      </c>
      <c r="E119" s="46" t="str">
        <f>IF(OR(A119="",B119=""),"",MAX(0,MIN(B119,Setup!$B$27+Setup!$B$10)-Setup!$B$10))</f>
        <v/>
      </c>
      <c r="F119" s="47" t="str">
        <f>IF(OR(A119="",B119=""),"",MAX(0,B119-Setup!$B$10))</f>
        <v/>
      </c>
    </row>
    <row r="120" spans="1:6" ht="15" customHeight="1">
      <c r="A120" s="48"/>
      <c r="B120" s="49"/>
      <c r="C120" s="43"/>
      <c r="D120" s="45" t="str">
        <f t="shared" si="1"/>
        <v/>
      </c>
      <c r="E120" s="46" t="str">
        <f>IF(OR(A120="",B120=""),"",MAX(0,MIN(B120,Setup!$B$27+Setup!$B$10)-Setup!$B$10))</f>
        <v/>
      </c>
      <c r="F120" s="47" t="str">
        <f>IF(OR(A120="",B120=""),"",MAX(0,B120-Setup!$B$10))</f>
        <v/>
      </c>
    </row>
    <row r="121" spans="1:6" ht="15" customHeight="1">
      <c r="A121" s="48"/>
      <c r="B121" s="49"/>
      <c r="C121" s="43"/>
      <c r="D121" s="45" t="str">
        <f t="shared" si="1"/>
        <v/>
      </c>
      <c r="E121" s="46" t="str">
        <f>IF(OR(A121="",B121=""),"",MAX(0,MIN(B121,Setup!$B$27+Setup!$B$10)-Setup!$B$10))</f>
        <v/>
      </c>
      <c r="F121" s="47" t="str">
        <f>IF(OR(A121="",B121=""),"",MAX(0,B121-Setup!$B$10))</f>
        <v/>
      </c>
    </row>
    <row r="122" spans="1:6" ht="15" customHeight="1">
      <c r="A122" s="48"/>
      <c r="B122" s="49"/>
      <c r="C122" s="43"/>
      <c r="D122" s="45" t="str">
        <f t="shared" si="1"/>
        <v/>
      </c>
      <c r="E122" s="46" t="str">
        <f>IF(OR(A122="",B122=""),"",MAX(0,MIN(B122,Setup!$B$27+Setup!$B$10)-Setup!$B$10))</f>
        <v/>
      </c>
      <c r="F122" s="47" t="str">
        <f>IF(OR(A122="",B122=""),"",MAX(0,B122-Setup!$B$10))</f>
        <v/>
      </c>
    </row>
    <row r="123" spans="1:6" ht="15" customHeight="1">
      <c r="A123" s="48"/>
      <c r="B123" s="49"/>
      <c r="C123" s="43"/>
      <c r="D123" s="45" t="str">
        <f t="shared" si="1"/>
        <v/>
      </c>
      <c r="E123" s="46" t="str">
        <f>IF(OR(A123="",B123=""),"",MAX(0,MIN(B123,Setup!$B$27+Setup!$B$10)-Setup!$B$10))</f>
        <v/>
      </c>
      <c r="F123" s="47" t="str">
        <f>IF(OR(A123="",B123=""),"",MAX(0,B123-Setup!$B$10))</f>
        <v/>
      </c>
    </row>
    <row r="124" spans="1:6" ht="15" customHeight="1">
      <c r="A124" s="48"/>
      <c r="B124" s="49"/>
      <c r="C124" s="43"/>
      <c r="D124" s="45" t="str">
        <f t="shared" si="1"/>
        <v/>
      </c>
      <c r="E124" s="46" t="str">
        <f>IF(OR(A124="",B124=""),"",MAX(0,MIN(B124,Setup!$B$27+Setup!$B$10)-Setup!$B$10))</f>
        <v/>
      </c>
      <c r="F124" s="47" t="str">
        <f>IF(OR(A124="",B124=""),"",MAX(0,B124-Setup!$B$10))</f>
        <v/>
      </c>
    </row>
    <row r="125" spans="1:6" ht="15" customHeight="1">
      <c r="A125" s="48"/>
      <c r="B125" s="49"/>
      <c r="C125" s="43"/>
      <c r="D125" s="45" t="str">
        <f t="shared" si="1"/>
        <v/>
      </c>
      <c r="E125" s="46" t="str">
        <f>IF(OR(A125="",B125=""),"",MAX(0,MIN(B125,Setup!$B$27+Setup!$B$10)-Setup!$B$10))</f>
        <v/>
      </c>
      <c r="F125" s="47" t="str">
        <f>IF(OR(A125="",B125=""),"",MAX(0,B125-Setup!$B$10))</f>
        <v/>
      </c>
    </row>
    <row r="126" spans="1:6" ht="15" customHeight="1">
      <c r="A126" s="48"/>
      <c r="B126" s="49"/>
      <c r="C126" s="43"/>
      <c r="D126" s="45" t="str">
        <f t="shared" si="1"/>
        <v/>
      </c>
      <c r="E126" s="46" t="str">
        <f>IF(OR(A126="",B126=""),"",MAX(0,MIN(B126,Setup!$B$27+Setup!$B$10)-Setup!$B$10))</f>
        <v/>
      </c>
      <c r="F126" s="47" t="str">
        <f>IF(OR(A126="",B126=""),"",MAX(0,B126-Setup!$B$10))</f>
        <v/>
      </c>
    </row>
    <row r="127" spans="1:6" ht="15" customHeight="1">
      <c r="A127" s="48"/>
      <c r="B127" s="49"/>
      <c r="C127" s="43"/>
      <c r="D127" s="45" t="str">
        <f t="shared" si="1"/>
        <v/>
      </c>
      <c r="E127" s="46" t="str">
        <f>IF(OR(A127="",B127=""),"",MAX(0,MIN(B127,Setup!$B$27+Setup!$B$10)-Setup!$B$10))</f>
        <v/>
      </c>
      <c r="F127" s="47" t="str">
        <f>IF(OR(A127="",B127=""),"",MAX(0,B127-Setup!$B$10))</f>
        <v/>
      </c>
    </row>
    <row r="128" spans="1:6" ht="15" customHeight="1">
      <c r="A128" s="48"/>
      <c r="B128" s="49"/>
      <c r="C128" s="43"/>
      <c r="D128" s="45" t="str">
        <f t="shared" si="1"/>
        <v/>
      </c>
      <c r="E128" s="46" t="str">
        <f>IF(OR(A128="",B128=""),"",MAX(0,MIN(B128,Setup!$B$27+Setup!$B$10)-Setup!$B$10))</f>
        <v/>
      </c>
      <c r="F128" s="47" t="str">
        <f>IF(OR(A128="",B128=""),"",MAX(0,B128-Setup!$B$10))</f>
        <v/>
      </c>
    </row>
    <row r="129" spans="1:6" ht="15" customHeight="1">
      <c r="A129" s="48"/>
      <c r="B129" s="49"/>
      <c r="C129" s="43"/>
      <c r="D129" s="45" t="str">
        <f t="shared" si="1"/>
        <v/>
      </c>
      <c r="E129" s="46" t="str">
        <f>IF(OR(A129="",B129=""),"",MAX(0,MIN(B129,Setup!$B$27+Setup!$B$10)-Setup!$B$10))</f>
        <v/>
      </c>
      <c r="F129" s="47" t="str">
        <f>IF(OR(A129="",B129=""),"",MAX(0,B129-Setup!$B$10))</f>
        <v/>
      </c>
    </row>
    <row r="130" spans="1:6" ht="15" customHeight="1">
      <c r="A130" s="48"/>
      <c r="B130" s="49"/>
      <c r="C130" s="43"/>
      <c r="D130" s="45" t="str">
        <f t="shared" si="1"/>
        <v/>
      </c>
      <c r="E130" s="46" t="str">
        <f>IF(OR(A130="",B130=""),"",MAX(0,MIN(B130,Setup!$B$27+Setup!$B$10)-Setup!$B$10))</f>
        <v/>
      </c>
      <c r="F130" s="47" t="str">
        <f>IF(OR(A130="",B130=""),"",MAX(0,B130-Setup!$B$10))</f>
        <v/>
      </c>
    </row>
    <row r="131" spans="1:6" ht="15" customHeight="1">
      <c r="A131" s="48"/>
      <c r="B131" s="49"/>
      <c r="C131" s="43"/>
      <c r="D131" s="45" t="str">
        <f t="shared" ref="D131:D194" si="2">IF(A131="","",YEAR(A131))</f>
        <v/>
      </c>
      <c r="E131" s="46" t="str">
        <f>IF(OR(A131="",B131=""),"",MAX(0,MIN(B131,Setup!$B$27+Setup!$B$10)-Setup!$B$10))</f>
        <v/>
      </c>
      <c r="F131" s="47" t="str">
        <f>IF(OR(A131="",B131=""),"",MAX(0,B131-Setup!$B$10))</f>
        <v/>
      </c>
    </row>
    <row r="132" spans="1:6" ht="15" customHeight="1">
      <c r="A132" s="48"/>
      <c r="B132" s="49"/>
      <c r="C132" s="43"/>
      <c r="D132" s="45" t="str">
        <f t="shared" si="2"/>
        <v/>
      </c>
      <c r="E132" s="46" t="str">
        <f>IF(OR(A132="",B132=""),"",MAX(0,MIN(B132,Setup!$B$27+Setup!$B$10)-Setup!$B$10))</f>
        <v/>
      </c>
      <c r="F132" s="47" t="str">
        <f>IF(OR(A132="",B132=""),"",MAX(0,B132-Setup!$B$10))</f>
        <v/>
      </c>
    </row>
    <row r="133" spans="1:6" ht="15" customHeight="1">
      <c r="A133" s="48"/>
      <c r="B133" s="49"/>
      <c r="C133" s="43"/>
      <c r="D133" s="45" t="str">
        <f t="shared" si="2"/>
        <v/>
      </c>
      <c r="E133" s="46" t="str">
        <f>IF(OR(A133="",B133=""),"",MAX(0,MIN(B133,Setup!$B$27+Setup!$B$10)-Setup!$B$10))</f>
        <v/>
      </c>
      <c r="F133" s="47" t="str">
        <f>IF(OR(A133="",B133=""),"",MAX(0,B133-Setup!$B$10))</f>
        <v/>
      </c>
    </row>
    <row r="134" spans="1:6" ht="15" customHeight="1">
      <c r="A134" s="48"/>
      <c r="B134" s="49"/>
      <c r="C134" s="43"/>
      <c r="D134" s="45" t="str">
        <f t="shared" si="2"/>
        <v/>
      </c>
      <c r="E134" s="46" t="str">
        <f>IF(OR(A134="",B134=""),"",MAX(0,MIN(B134,Setup!$B$27+Setup!$B$10)-Setup!$B$10))</f>
        <v/>
      </c>
      <c r="F134" s="47" t="str">
        <f>IF(OR(A134="",B134=""),"",MAX(0,B134-Setup!$B$10))</f>
        <v/>
      </c>
    </row>
    <row r="135" spans="1:6" ht="15" customHeight="1">
      <c r="A135" s="48"/>
      <c r="B135" s="49"/>
      <c r="C135" s="43"/>
      <c r="D135" s="45" t="str">
        <f t="shared" si="2"/>
        <v/>
      </c>
      <c r="E135" s="46" t="str">
        <f>IF(OR(A135="",B135=""),"",MAX(0,MIN(B135,Setup!$B$27+Setup!$B$10)-Setup!$B$10))</f>
        <v/>
      </c>
      <c r="F135" s="47" t="str">
        <f>IF(OR(A135="",B135=""),"",MAX(0,B135-Setup!$B$10))</f>
        <v/>
      </c>
    </row>
    <row r="136" spans="1:6" ht="15" customHeight="1">
      <c r="A136" s="48"/>
      <c r="B136" s="49"/>
      <c r="C136" s="43"/>
      <c r="D136" s="45" t="str">
        <f t="shared" si="2"/>
        <v/>
      </c>
      <c r="E136" s="46" t="str">
        <f>IF(OR(A136="",B136=""),"",MAX(0,MIN(B136,Setup!$B$27+Setup!$B$10)-Setup!$B$10))</f>
        <v/>
      </c>
      <c r="F136" s="47" t="str">
        <f>IF(OR(A136="",B136=""),"",MAX(0,B136-Setup!$B$10))</f>
        <v/>
      </c>
    </row>
    <row r="137" spans="1:6" ht="15" customHeight="1">
      <c r="A137" s="48"/>
      <c r="B137" s="49"/>
      <c r="C137" s="43"/>
      <c r="D137" s="45" t="str">
        <f t="shared" si="2"/>
        <v/>
      </c>
      <c r="E137" s="46" t="str">
        <f>IF(OR(A137="",B137=""),"",MAX(0,MIN(B137,Setup!$B$27+Setup!$B$10)-Setup!$B$10))</f>
        <v/>
      </c>
      <c r="F137" s="47" t="str">
        <f>IF(OR(A137="",B137=""),"",MAX(0,B137-Setup!$B$10))</f>
        <v/>
      </c>
    </row>
    <row r="138" spans="1:6" ht="15" customHeight="1">
      <c r="A138" s="48"/>
      <c r="B138" s="49"/>
      <c r="C138" s="43"/>
      <c r="D138" s="45" t="str">
        <f t="shared" si="2"/>
        <v/>
      </c>
      <c r="E138" s="46" t="str">
        <f>IF(OR(A138="",B138=""),"",MAX(0,MIN(B138,Setup!$B$27+Setup!$B$10)-Setup!$B$10))</f>
        <v/>
      </c>
      <c r="F138" s="47" t="str">
        <f>IF(OR(A138="",B138=""),"",MAX(0,B138-Setup!$B$10))</f>
        <v/>
      </c>
    </row>
    <row r="139" spans="1:6" ht="15" customHeight="1">
      <c r="A139" s="48"/>
      <c r="B139" s="49"/>
      <c r="C139" s="43"/>
      <c r="D139" s="45" t="str">
        <f t="shared" si="2"/>
        <v/>
      </c>
      <c r="E139" s="46" t="str">
        <f>IF(OR(A139="",B139=""),"",MAX(0,MIN(B139,Setup!$B$27+Setup!$B$10)-Setup!$B$10))</f>
        <v/>
      </c>
      <c r="F139" s="47" t="str">
        <f>IF(OR(A139="",B139=""),"",MAX(0,B139-Setup!$B$10))</f>
        <v/>
      </c>
    </row>
    <row r="140" spans="1:6" ht="15" customHeight="1">
      <c r="A140" s="48"/>
      <c r="B140" s="49"/>
      <c r="C140" s="43"/>
      <c r="D140" s="45" t="str">
        <f t="shared" si="2"/>
        <v/>
      </c>
      <c r="E140" s="46" t="str">
        <f>IF(OR(A140="",B140=""),"",MAX(0,MIN(B140,Setup!$B$27+Setup!$B$10)-Setup!$B$10))</f>
        <v/>
      </c>
      <c r="F140" s="47" t="str">
        <f>IF(OR(A140="",B140=""),"",MAX(0,B140-Setup!$B$10))</f>
        <v/>
      </c>
    </row>
    <row r="141" spans="1:6" ht="15" customHeight="1">
      <c r="A141" s="48"/>
      <c r="B141" s="49"/>
      <c r="C141" s="43"/>
      <c r="D141" s="45" t="str">
        <f t="shared" si="2"/>
        <v/>
      </c>
      <c r="E141" s="46" t="str">
        <f>IF(OR(A141="",B141=""),"",MAX(0,MIN(B141,Setup!$B$27+Setup!$B$10)-Setup!$B$10))</f>
        <v/>
      </c>
      <c r="F141" s="47" t="str">
        <f>IF(OR(A141="",B141=""),"",MAX(0,B141-Setup!$B$10))</f>
        <v/>
      </c>
    </row>
    <row r="142" spans="1:6" ht="15" customHeight="1">
      <c r="A142" s="48"/>
      <c r="B142" s="49"/>
      <c r="C142" s="43"/>
      <c r="D142" s="45" t="str">
        <f t="shared" si="2"/>
        <v/>
      </c>
      <c r="E142" s="46" t="str">
        <f>IF(OR(A142="",B142=""),"",MAX(0,MIN(B142,Setup!$B$27+Setup!$B$10)-Setup!$B$10))</f>
        <v/>
      </c>
      <c r="F142" s="47" t="str">
        <f>IF(OR(A142="",B142=""),"",MAX(0,B142-Setup!$B$10))</f>
        <v/>
      </c>
    </row>
    <row r="143" spans="1:6" ht="15" customHeight="1">
      <c r="A143" s="48"/>
      <c r="B143" s="49"/>
      <c r="C143" s="43"/>
      <c r="D143" s="45" t="str">
        <f t="shared" si="2"/>
        <v/>
      </c>
      <c r="E143" s="46" t="str">
        <f>IF(OR(A143="",B143=""),"",MAX(0,MIN(B143,Setup!$B$27+Setup!$B$10)-Setup!$B$10))</f>
        <v/>
      </c>
      <c r="F143" s="47" t="str">
        <f>IF(OR(A143="",B143=""),"",MAX(0,B143-Setup!$B$10))</f>
        <v/>
      </c>
    </row>
    <row r="144" spans="1:6" ht="15" customHeight="1">
      <c r="A144" s="48"/>
      <c r="B144" s="49"/>
      <c r="C144" s="43"/>
      <c r="D144" s="45" t="str">
        <f t="shared" si="2"/>
        <v/>
      </c>
      <c r="E144" s="46" t="str">
        <f>IF(OR(A144="",B144=""),"",MAX(0,MIN(B144,Setup!$B$27+Setup!$B$10)-Setup!$B$10))</f>
        <v/>
      </c>
      <c r="F144" s="47" t="str">
        <f>IF(OR(A144="",B144=""),"",MAX(0,B144-Setup!$B$10))</f>
        <v/>
      </c>
    </row>
    <row r="145" spans="1:6" ht="15" customHeight="1">
      <c r="A145" s="48"/>
      <c r="B145" s="49"/>
      <c r="C145" s="43"/>
      <c r="D145" s="45" t="str">
        <f t="shared" si="2"/>
        <v/>
      </c>
      <c r="E145" s="46" t="str">
        <f>IF(OR(A145="",B145=""),"",MAX(0,MIN(B145,Setup!$B$27+Setup!$B$10)-Setup!$B$10))</f>
        <v/>
      </c>
      <c r="F145" s="47" t="str">
        <f>IF(OR(A145="",B145=""),"",MAX(0,B145-Setup!$B$10))</f>
        <v/>
      </c>
    </row>
    <row r="146" spans="1:6" ht="15" customHeight="1">
      <c r="A146" s="48"/>
      <c r="B146" s="49"/>
      <c r="C146" s="43"/>
      <c r="D146" s="45" t="str">
        <f t="shared" si="2"/>
        <v/>
      </c>
      <c r="E146" s="46" t="str">
        <f>IF(OR(A146="",B146=""),"",MAX(0,MIN(B146,Setup!$B$27+Setup!$B$10)-Setup!$B$10))</f>
        <v/>
      </c>
      <c r="F146" s="47" t="str">
        <f>IF(OR(A146="",B146=""),"",MAX(0,B146-Setup!$B$10))</f>
        <v/>
      </c>
    </row>
    <row r="147" spans="1:6" ht="15" customHeight="1">
      <c r="A147" s="48"/>
      <c r="B147" s="49"/>
      <c r="C147" s="43"/>
      <c r="D147" s="45" t="str">
        <f t="shared" si="2"/>
        <v/>
      </c>
      <c r="E147" s="46" t="str">
        <f>IF(OR(A147="",B147=""),"",MAX(0,MIN(B147,Setup!$B$27+Setup!$B$10)-Setup!$B$10))</f>
        <v/>
      </c>
      <c r="F147" s="47" t="str">
        <f>IF(OR(A147="",B147=""),"",MAX(0,B147-Setup!$B$10))</f>
        <v/>
      </c>
    </row>
    <row r="148" spans="1:6" ht="15" customHeight="1">
      <c r="A148" s="48"/>
      <c r="B148" s="49"/>
      <c r="C148" s="43"/>
      <c r="D148" s="45" t="str">
        <f t="shared" si="2"/>
        <v/>
      </c>
      <c r="E148" s="46" t="str">
        <f>IF(OR(A148="",B148=""),"",MAX(0,MIN(B148,Setup!$B$27+Setup!$B$10)-Setup!$B$10))</f>
        <v/>
      </c>
      <c r="F148" s="47" t="str">
        <f>IF(OR(A148="",B148=""),"",MAX(0,B148-Setup!$B$10))</f>
        <v/>
      </c>
    </row>
    <row r="149" spans="1:6" ht="15" customHeight="1">
      <c r="A149" s="48"/>
      <c r="B149" s="49"/>
      <c r="C149" s="43"/>
      <c r="D149" s="45" t="str">
        <f t="shared" si="2"/>
        <v/>
      </c>
      <c r="E149" s="46" t="str">
        <f>IF(OR(A149="",B149=""),"",MAX(0,MIN(B149,Setup!$B$27+Setup!$B$10)-Setup!$B$10))</f>
        <v/>
      </c>
      <c r="F149" s="47" t="str">
        <f>IF(OR(A149="",B149=""),"",MAX(0,B149-Setup!$B$10))</f>
        <v/>
      </c>
    </row>
    <row r="150" spans="1:6" ht="15" customHeight="1">
      <c r="A150" s="48"/>
      <c r="B150" s="49"/>
      <c r="C150" s="43"/>
      <c r="D150" s="45" t="str">
        <f t="shared" si="2"/>
        <v/>
      </c>
      <c r="E150" s="46" t="str">
        <f>IF(OR(A150="",B150=""),"",MAX(0,MIN(B150,Setup!$B$27+Setup!$B$10)-Setup!$B$10))</f>
        <v/>
      </c>
      <c r="F150" s="47" t="str">
        <f>IF(OR(A150="",B150=""),"",MAX(0,B150-Setup!$B$10))</f>
        <v/>
      </c>
    </row>
    <row r="151" spans="1:6" ht="15" customHeight="1">
      <c r="A151" s="48"/>
      <c r="B151" s="49"/>
      <c r="C151" s="43"/>
      <c r="D151" s="45" t="str">
        <f t="shared" si="2"/>
        <v/>
      </c>
      <c r="E151" s="46" t="str">
        <f>IF(OR(A151="",B151=""),"",MAX(0,MIN(B151,Setup!$B$27+Setup!$B$10)-Setup!$B$10))</f>
        <v/>
      </c>
      <c r="F151" s="47" t="str">
        <f>IF(OR(A151="",B151=""),"",MAX(0,B151-Setup!$B$10))</f>
        <v/>
      </c>
    </row>
    <row r="152" spans="1:6" ht="15" customHeight="1">
      <c r="A152" s="48"/>
      <c r="B152" s="49"/>
      <c r="C152" s="43"/>
      <c r="D152" s="45" t="str">
        <f t="shared" si="2"/>
        <v/>
      </c>
      <c r="E152" s="46" t="str">
        <f>IF(OR(A152="",B152=""),"",MAX(0,MIN(B152,Setup!$B$27+Setup!$B$10)-Setup!$B$10))</f>
        <v/>
      </c>
      <c r="F152" s="47" t="str">
        <f>IF(OR(A152="",B152=""),"",MAX(0,B152-Setup!$B$10))</f>
        <v/>
      </c>
    </row>
    <row r="153" spans="1:6" ht="15" customHeight="1">
      <c r="A153" s="48"/>
      <c r="B153" s="49"/>
      <c r="C153" s="43"/>
      <c r="D153" s="45" t="str">
        <f t="shared" si="2"/>
        <v/>
      </c>
      <c r="E153" s="46" t="str">
        <f>IF(OR(A153="",B153=""),"",MAX(0,MIN(B153,Setup!$B$27+Setup!$B$10)-Setup!$B$10))</f>
        <v/>
      </c>
      <c r="F153" s="47" t="str">
        <f>IF(OR(A153="",B153=""),"",MAX(0,B153-Setup!$B$10))</f>
        <v/>
      </c>
    </row>
    <row r="154" spans="1:6" ht="15" customHeight="1">
      <c r="A154" s="48"/>
      <c r="B154" s="49"/>
      <c r="C154" s="43"/>
      <c r="D154" s="45" t="str">
        <f t="shared" si="2"/>
        <v/>
      </c>
      <c r="E154" s="46" t="str">
        <f>IF(OR(A154="",B154=""),"",MAX(0,MIN(B154,Setup!$B$27+Setup!$B$10)-Setup!$B$10))</f>
        <v/>
      </c>
      <c r="F154" s="47" t="str">
        <f>IF(OR(A154="",B154=""),"",MAX(0,B154-Setup!$B$10))</f>
        <v/>
      </c>
    </row>
    <row r="155" spans="1:6" ht="15" customHeight="1">
      <c r="A155" s="48"/>
      <c r="B155" s="49"/>
      <c r="C155" s="43"/>
      <c r="D155" s="45" t="str">
        <f t="shared" si="2"/>
        <v/>
      </c>
      <c r="E155" s="46" t="str">
        <f>IF(OR(A155="",B155=""),"",MAX(0,MIN(B155,Setup!$B$27+Setup!$B$10)-Setup!$B$10))</f>
        <v/>
      </c>
      <c r="F155" s="47" t="str">
        <f>IF(OR(A155="",B155=""),"",MAX(0,B155-Setup!$B$10))</f>
        <v/>
      </c>
    </row>
    <row r="156" spans="1:6" ht="15" customHeight="1">
      <c r="A156" s="48"/>
      <c r="B156" s="49"/>
      <c r="C156" s="43"/>
      <c r="D156" s="45" t="str">
        <f t="shared" si="2"/>
        <v/>
      </c>
      <c r="E156" s="46" t="str">
        <f>IF(OR(A156="",B156=""),"",MAX(0,MIN(B156,Setup!$B$27+Setup!$B$10)-Setup!$B$10))</f>
        <v/>
      </c>
      <c r="F156" s="47" t="str">
        <f>IF(OR(A156="",B156=""),"",MAX(0,B156-Setup!$B$10))</f>
        <v/>
      </c>
    </row>
    <row r="157" spans="1:6" ht="15" customHeight="1">
      <c r="A157" s="48"/>
      <c r="B157" s="49"/>
      <c r="C157" s="43"/>
      <c r="D157" s="45" t="str">
        <f t="shared" si="2"/>
        <v/>
      </c>
      <c r="E157" s="46" t="str">
        <f>IF(OR(A157="",B157=""),"",MAX(0,MIN(B157,Setup!$B$27+Setup!$B$10)-Setup!$B$10))</f>
        <v/>
      </c>
      <c r="F157" s="47" t="str">
        <f>IF(OR(A157="",B157=""),"",MAX(0,B157-Setup!$B$10))</f>
        <v/>
      </c>
    </row>
    <row r="158" spans="1:6" ht="15" customHeight="1">
      <c r="A158" s="48"/>
      <c r="B158" s="49"/>
      <c r="C158" s="43"/>
      <c r="D158" s="45" t="str">
        <f t="shared" si="2"/>
        <v/>
      </c>
      <c r="E158" s="46" t="str">
        <f>IF(OR(A158="",B158=""),"",MAX(0,MIN(B158,Setup!$B$27+Setup!$B$10)-Setup!$B$10))</f>
        <v/>
      </c>
      <c r="F158" s="47" t="str">
        <f>IF(OR(A158="",B158=""),"",MAX(0,B158-Setup!$B$10))</f>
        <v/>
      </c>
    </row>
    <row r="159" spans="1:6" ht="15" customHeight="1">
      <c r="A159" s="48"/>
      <c r="B159" s="49"/>
      <c r="C159" s="43"/>
      <c r="D159" s="45" t="str">
        <f t="shared" si="2"/>
        <v/>
      </c>
      <c r="E159" s="46" t="str">
        <f>IF(OR(A159="",B159=""),"",MAX(0,MIN(B159,Setup!$B$27+Setup!$B$10)-Setup!$B$10))</f>
        <v/>
      </c>
      <c r="F159" s="47" t="str">
        <f>IF(OR(A159="",B159=""),"",MAX(0,B159-Setup!$B$10))</f>
        <v/>
      </c>
    </row>
    <row r="160" spans="1:6" ht="15" customHeight="1">
      <c r="A160" s="48"/>
      <c r="B160" s="49"/>
      <c r="C160" s="43"/>
      <c r="D160" s="45" t="str">
        <f t="shared" si="2"/>
        <v/>
      </c>
      <c r="E160" s="46" t="str">
        <f>IF(OR(A160="",B160=""),"",MAX(0,MIN(B160,Setup!$B$27+Setup!$B$10)-Setup!$B$10))</f>
        <v/>
      </c>
      <c r="F160" s="47" t="str">
        <f>IF(OR(A160="",B160=""),"",MAX(0,B160-Setup!$B$10))</f>
        <v/>
      </c>
    </row>
    <row r="161" spans="1:6" ht="15" customHeight="1">
      <c r="A161" s="48"/>
      <c r="B161" s="49"/>
      <c r="C161" s="43"/>
      <c r="D161" s="45" t="str">
        <f t="shared" si="2"/>
        <v/>
      </c>
      <c r="E161" s="46" t="str">
        <f>IF(OR(A161="",B161=""),"",MAX(0,MIN(B161,Setup!$B$27+Setup!$B$10)-Setup!$B$10))</f>
        <v/>
      </c>
      <c r="F161" s="47" t="str">
        <f>IF(OR(A161="",B161=""),"",MAX(0,B161-Setup!$B$10))</f>
        <v/>
      </c>
    </row>
    <row r="162" spans="1:6" ht="15" customHeight="1">
      <c r="A162" s="48"/>
      <c r="B162" s="49"/>
      <c r="C162" s="43"/>
      <c r="D162" s="45" t="str">
        <f t="shared" si="2"/>
        <v/>
      </c>
      <c r="E162" s="46" t="str">
        <f>IF(OR(A162="",B162=""),"",MAX(0,MIN(B162,Setup!$B$27+Setup!$B$10)-Setup!$B$10))</f>
        <v/>
      </c>
      <c r="F162" s="47" t="str">
        <f>IF(OR(A162="",B162=""),"",MAX(0,B162-Setup!$B$10))</f>
        <v/>
      </c>
    </row>
    <row r="163" spans="1:6" ht="15" customHeight="1">
      <c r="A163" s="48"/>
      <c r="B163" s="49"/>
      <c r="C163" s="43"/>
      <c r="D163" s="45" t="str">
        <f t="shared" si="2"/>
        <v/>
      </c>
      <c r="E163" s="46" t="str">
        <f>IF(OR(A163="",B163=""),"",MAX(0,MIN(B163,Setup!$B$27+Setup!$B$10)-Setup!$B$10))</f>
        <v/>
      </c>
      <c r="F163" s="47" t="str">
        <f>IF(OR(A163="",B163=""),"",MAX(0,B163-Setup!$B$10))</f>
        <v/>
      </c>
    </row>
    <row r="164" spans="1:6" ht="15" customHeight="1">
      <c r="A164" s="48"/>
      <c r="B164" s="49"/>
      <c r="C164" s="43"/>
      <c r="D164" s="45" t="str">
        <f t="shared" si="2"/>
        <v/>
      </c>
      <c r="E164" s="46" t="str">
        <f>IF(OR(A164="",B164=""),"",MAX(0,MIN(B164,Setup!$B$27+Setup!$B$10)-Setup!$B$10))</f>
        <v/>
      </c>
      <c r="F164" s="47" t="str">
        <f>IF(OR(A164="",B164=""),"",MAX(0,B164-Setup!$B$10))</f>
        <v/>
      </c>
    </row>
    <row r="165" spans="1:6" ht="15" customHeight="1">
      <c r="A165" s="48"/>
      <c r="B165" s="49"/>
      <c r="C165" s="43"/>
      <c r="D165" s="45" t="str">
        <f t="shared" si="2"/>
        <v/>
      </c>
      <c r="E165" s="46" t="str">
        <f>IF(OR(A165="",B165=""),"",MAX(0,MIN(B165,Setup!$B$27+Setup!$B$10)-Setup!$B$10))</f>
        <v/>
      </c>
      <c r="F165" s="47" t="str">
        <f>IF(OR(A165="",B165=""),"",MAX(0,B165-Setup!$B$10))</f>
        <v/>
      </c>
    </row>
    <row r="166" spans="1:6" ht="15" customHeight="1">
      <c r="A166" s="48"/>
      <c r="B166" s="49"/>
      <c r="C166" s="43"/>
      <c r="D166" s="45" t="str">
        <f t="shared" si="2"/>
        <v/>
      </c>
      <c r="E166" s="46" t="str">
        <f>IF(OR(A166="",B166=""),"",MAX(0,MIN(B166,Setup!$B$27+Setup!$B$10)-Setup!$B$10))</f>
        <v/>
      </c>
      <c r="F166" s="47" t="str">
        <f>IF(OR(A166="",B166=""),"",MAX(0,B166-Setup!$B$10))</f>
        <v/>
      </c>
    </row>
    <row r="167" spans="1:6" ht="15" customHeight="1">
      <c r="A167" s="48"/>
      <c r="B167" s="49"/>
      <c r="C167" s="43"/>
      <c r="D167" s="45" t="str">
        <f t="shared" si="2"/>
        <v/>
      </c>
      <c r="E167" s="46" t="str">
        <f>IF(OR(A167="",B167=""),"",MAX(0,MIN(B167,Setup!$B$27+Setup!$B$10)-Setup!$B$10))</f>
        <v/>
      </c>
      <c r="F167" s="47" t="str">
        <f>IF(OR(A167="",B167=""),"",MAX(0,B167-Setup!$B$10))</f>
        <v/>
      </c>
    </row>
    <row r="168" spans="1:6" ht="15" customHeight="1">
      <c r="A168" s="48"/>
      <c r="B168" s="49"/>
      <c r="C168" s="43"/>
      <c r="D168" s="45" t="str">
        <f t="shared" si="2"/>
        <v/>
      </c>
      <c r="E168" s="46" t="str">
        <f>IF(OR(A168="",B168=""),"",MAX(0,MIN(B168,Setup!$B$27+Setup!$B$10)-Setup!$B$10))</f>
        <v/>
      </c>
      <c r="F168" s="47" t="str">
        <f>IF(OR(A168="",B168=""),"",MAX(0,B168-Setup!$B$10))</f>
        <v/>
      </c>
    </row>
    <row r="169" spans="1:6" ht="15" customHeight="1">
      <c r="A169" s="48"/>
      <c r="B169" s="49"/>
      <c r="C169" s="43"/>
      <c r="D169" s="45" t="str">
        <f t="shared" si="2"/>
        <v/>
      </c>
      <c r="E169" s="46" t="str">
        <f>IF(OR(A169="",B169=""),"",MAX(0,MIN(B169,Setup!$B$27+Setup!$B$10)-Setup!$B$10))</f>
        <v/>
      </c>
      <c r="F169" s="47" t="str">
        <f>IF(OR(A169="",B169=""),"",MAX(0,B169-Setup!$B$10))</f>
        <v/>
      </c>
    </row>
    <row r="170" spans="1:6" ht="15" customHeight="1">
      <c r="A170" s="48"/>
      <c r="B170" s="49"/>
      <c r="C170" s="43"/>
      <c r="D170" s="45" t="str">
        <f t="shared" si="2"/>
        <v/>
      </c>
      <c r="E170" s="46" t="str">
        <f>IF(OR(A170="",B170=""),"",MAX(0,MIN(B170,Setup!$B$27+Setup!$B$10)-Setup!$B$10))</f>
        <v/>
      </c>
      <c r="F170" s="47" t="str">
        <f>IF(OR(A170="",B170=""),"",MAX(0,B170-Setup!$B$10))</f>
        <v/>
      </c>
    </row>
    <row r="171" spans="1:6" ht="15" customHeight="1">
      <c r="A171" s="48"/>
      <c r="B171" s="49"/>
      <c r="C171" s="43"/>
      <c r="D171" s="45" t="str">
        <f t="shared" si="2"/>
        <v/>
      </c>
      <c r="E171" s="46" t="str">
        <f>IF(OR(A171="",B171=""),"",MAX(0,MIN(B171,Setup!$B$27+Setup!$B$10)-Setup!$B$10))</f>
        <v/>
      </c>
      <c r="F171" s="47" t="str">
        <f>IF(OR(A171="",B171=""),"",MAX(0,B171-Setup!$B$10))</f>
        <v/>
      </c>
    </row>
    <row r="172" spans="1:6" ht="15" customHeight="1">
      <c r="A172" s="48"/>
      <c r="B172" s="49"/>
      <c r="C172" s="43"/>
      <c r="D172" s="45" t="str">
        <f t="shared" si="2"/>
        <v/>
      </c>
      <c r="E172" s="46" t="str">
        <f>IF(OR(A172="",B172=""),"",MAX(0,MIN(B172,Setup!$B$27+Setup!$B$10)-Setup!$B$10))</f>
        <v/>
      </c>
      <c r="F172" s="47" t="str">
        <f>IF(OR(A172="",B172=""),"",MAX(0,B172-Setup!$B$10))</f>
        <v/>
      </c>
    </row>
    <row r="173" spans="1:6" ht="15" customHeight="1">
      <c r="A173" s="48"/>
      <c r="B173" s="49"/>
      <c r="C173" s="43"/>
      <c r="D173" s="45" t="str">
        <f t="shared" si="2"/>
        <v/>
      </c>
      <c r="E173" s="46" t="str">
        <f>IF(OR(A173="",B173=""),"",MAX(0,MIN(B173,Setup!$B$27+Setup!$B$10)-Setup!$B$10))</f>
        <v/>
      </c>
      <c r="F173" s="47" t="str">
        <f>IF(OR(A173="",B173=""),"",MAX(0,B173-Setup!$B$10))</f>
        <v/>
      </c>
    </row>
    <row r="174" spans="1:6" ht="15" customHeight="1">
      <c r="A174" s="48"/>
      <c r="B174" s="49"/>
      <c r="C174" s="43"/>
      <c r="D174" s="45" t="str">
        <f t="shared" si="2"/>
        <v/>
      </c>
      <c r="E174" s="46" t="str">
        <f>IF(OR(A174="",B174=""),"",MAX(0,MIN(B174,Setup!$B$27+Setup!$B$10)-Setup!$B$10))</f>
        <v/>
      </c>
      <c r="F174" s="47" t="str">
        <f>IF(OR(A174="",B174=""),"",MAX(0,B174-Setup!$B$10))</f>
        <v/>
      </c>
    </row>
    <row r="175" spans="1:6" ht="15" customHeight="1">
      <c r="A175" s="48"/>
      <c r="B175" s="49"/>
      <c r="C175" s="43"/>
      <c r="D175" s="45" t="str">
        <f t="shared" si="2"/>
        <v/>
      </c>
      <c r="E175" s="46" t="str">
        <f>IF(OR(A175="",B175=""),"",MAX(0,MIN(B175,Setup!$B$27+Setup!$B$10)-Setup!$B$10))</f>
        <v/>
      </c>
      <c r="F175" s="47" t="str">
        <f>IF(OR(A175="",B175=""),"",MAX(0,B175-Setup!$B$10))</f>
        <v/>
      </c>
    </row>
    <row r="176" spans="1:6" ht="15" customHeight="1">
      <c r="A176" s="48"/>
      <c r="B176" s="49"/>
      <c r="C176" s="43"/>
      <c r="D176" s="45" t="str">
        <f t="shared" si="2"/>
        <v/>
      </c>
      <c r="E176" s="46" t="str">
        <f>IF(OR(A176="",B176=""),"",MAX(0,MIN(B176,Setup!$B$27+Setup!$B$10)-Setup!$B$10))</f>
        <v/>
      </c>
      <c r="F176" s="47" t="str">
        <f>IF(OR(A176="",B176=""),"",MAX(0,B176-Setup!$B$10))</f>
        <v/>
      </c>
    </row>
    <row r="177" spans="1:6" ht="15" customHeight="1">
      <c r="A177" s="48"/>
      <c r="B177" s="49"/>
      <c r="C177" s="43"/>
      <c r="D177" s="45" t="str">
        <f t="shared" si="2"/>
        <v/>
      </c>
      <c r="E177" s="46" t="str">
        <f>IF(OR(A177="",B177=""),"",MAX(0,MIN(B177,Setup!$B$27+Setup!$B$10)-Setup!$B$10))</f>
        <v/>
      </c>
      <c r="F177" s="47" t="str">
        <f>IF(OR(A177="",B177=""),"",MAX(0,B177-Setup!$B$10))</f>
        <v/>
      </c>
    </row>
    <row r="178" spans="1:6" ht="15" customHeight="1">
      <c r="A178" s="48"/>
      <c r="B178" s="49"/>
      <c r="C178" s="43"/>
      <c r="D178" s="45" t="str">
        <f t="shared" si="2"/>
        <v/>
      </c>
      <c r="E178" s="46" t="str">
        <f>IF(OR(A178="",B178=""),"",MAX(0,MIN(B178,Setup!$B$27+Setup!$B$10)-Setup!$B$10))</f>
        <v/>
      </c>
      <c r="F178" s="47" t="str">
        <f>IF(OR(A178="",B178=""),"",MAX(0,B178-Setup!$B$10))</f>
        <v/>
      </c>
    </row>
    <row r="179" spans="1:6" ht="15" customHeight="1">
      <c r="A179" s="48"/>
      <c r="B179" s="49"/>
      <c r="C179" s="43"/>
      <c r="D179" s="45" t="str">
        <f t="shared" si="2"/>
        <v/>
      </c>
      <c r="E179" s="46" t="str">
        <f>IF(OR(A179="",B179=""),"",MAX(0,MIN(B179,Setup!$B$27+Setup!$B$10)-Setup!$B$10))</f>
        <v/>
      </c>
      <c r="F179" s="47" t="str">
        <f>IF(OR(A179="",B179=""),"",MAX(0,B179-Setup!$B$10))</f>
        <v/>
      </c>
    </row>
    <row r="180" spans="1:6" ht="15" customHeight="1">
      <c r="A180" s="48"/>
      <c r="B180" s="49"/>
      <c r="C180" s="43"/>
      <c r="D180" s="45" t="str">
        <f t="shared" si="2"/>
        <v/>
      </c>
      <c r="E180" s="46" t="str">
        <f>IF(OR(A180="",B180=""),"",MAX(0,MIN(B180,Setup!$B$27+Setup!$B$10)-Setup!$B$10))</f>
        <v/>
      </c>
      <c r="F180" s="47" t="str">
        <f>IF(OR(A180="",B180=""),"",MAX(0,B180-Setup!$B$10))</f>
        <v/>
      </c>
    </row>
    <row r="181" spans="1:6" ht="15" customHeight="1">
      <c r="A181" s="48"/>
      <c r="B181" s="49"/>
      <c r="C181" s="43"/>
      <c r="D181" s="45" t="str">
        <f t="shared" si="2"/>
        <v/>
      </c>
      <c r="E181" s="46" t="str">
        <f>IF(OR(A181="",B181=""),"",MAX(0,MIN(B181,Setup!$B$27+Setup!$B$10)-Setup!$B$10))</f>
        <v/>
      </c>
      <c r="F181" s="47" t="str">
        <f>IF(OR(A181="",B181=""),"",MAX(0,B181-Setup!$B$10))</f>
        <v/>
      </c>
    </row>
    <row r="182" spans="1:6" ht="15" customHeight="1">
      <c r="A182" s="48"/>
      <c r="B182" s="49"/>
      <c r="C182" s="43"/>
      <c r="D182" s="45" t="str">
        <f t="shared" si="2"/>
        <v/>
      </c>
      <c r="E182" s="46" t="str">
        <f>IF(OR(A182="",B182=""),"",MAX(0,MIN(B182,Setup!$B$27+Setup!$B$10)-Setup!$B$10))</f>
        <v/>
      </c>
      <c r="F182" s="47" t="str">
        <f>IF(OR(A182="",B182=""),"",MAX(0,B182-Setup!$B$10))</f>
        <v/>
      </c>
    </row>
    <row r="183" spans="1:6" ht="15" customHeight="1">
      <c r="A183" s="48"/>
      <c r="B183" s="49"/>
      <c r="C183" s="43"/>
      <c r="D183" s="45" t="str">
        <f t="shared" si="2"/>
        <v/>
      </c>
      <c r="E183" s="46" t="str">
        <f>IF(OR(A183="",B183=""),"",MAX(0,MIN(B183,Setup!$B$27+Setup!$B$10)-Setup!$B$10))</f>
        <v/>
      </c>
      <c r="F183" s="47" t="str">
        <f>IF(OR(A183="",B183=""),"",MAX(0,B183-Setup!$B$10))</f>
        <v/>
      </c>
    </row>
    <row r="184" spans="1:6" ht="15" customHeight="1">
      <c r="A184" s="48"/>
      <c r="B184" s="49"/>
      <c r="C184" s="43"/>
      <c r="D184" s="45" t="str">
        <f t="shared" si="2"/>
        <v/>
      </c>
      <c r="E184" s="46" t="str">
        <f>IF(OR(A184="",B184=""),"",MAX(0,MIN(B184,Setup!$B$27+Setup!$B$10)-Setup!$B$10))</f>
        <v/>
      </c>
      <c r="F184" s="47" t="str">
        <f>IF(OR(A184="",B184=""),"",MAX(0,B184-Setup!$B$10))</f>
        <v/>
      </c>
    </row>
    <row r="185" spans="1:6" ht="15" customHeight="1">
      <c r="A185" s="48"/>
      <c r="B185" s="49"/>
      <c r="C185" s="43"/>
      <c r="D185" s="45" t="str">
        <f t="shared" si="2"/>
        <v/>
      </c>
      <c r="E185" s="46" t="str">
        <f>IF(OR(A185="",B185=""),"",MAX(0,MIN(B185,Setup!$B$27+Setup!$B$10)-Setup!$B$10))</f>
        <v/>
      </c>
      <c r="F185" s="47" t="str">
        <f>IF(OR(A185="",B185=""),"",MAX(0,B185-Setup!$B$10))</f>
        <v/>
      </c>
    </row>
    <row r="186" spans="1:6" ht="15" customHeight="1">
      <c r="A186" s="48"/>
      <c r="B186" s="49"/>
      <c r="C186" s="43"/>
      <c r="D186" s="45" t="str">
        <f t="shared" si="2"/>
        <v/>
      </c>
      <c r="E186" s="46" t="str">
        <f>IF(OR(A186="",B186=""),"",MAX(0,MIN(B186,Setup!$B$27+Setup!$B$10)-Setup!$B$10))</f>
        <v/>
      </c>
      <c r="F186" s="47" t="str">
        <f>IF(OR(A186="",B186=""),"",MAX(0,B186-Setup!$B$10))</f>
        <v/>
      </c>
    </row>
    <row r="187" spans="1:6" ht="15" customHeight="1">
      <c r="A187" s="48"/>
      <c r="B187" s="49"/>
      <c r="C187" s="43"/>
      <c r="D187" s="45" t="str">
        <f t="shared" si="2"/>
        <v/>
      </c>
      <c r="E187" s="46" t="str">
        <f>IF(OR(A187="",B187=""),"",MAX(0,MIN(B187,Setup!$B$27+Setup!$B$10)-Setup!$B$10))</f>
        <v/>
      </c>
      <c r="F187" s="47" t="str">
        <f>IF(OR(A187="",B187=""),"",MAX(0,B187-Setup!$B$10))</f>
        <v/>
      </c>
    </row>
    <row r="188" spans="1:6" ht="15" customHeight="1">
      <c r="A188" s="48"/>
      <c r="B188" s="49"/>
      <c r="C188" s="43"/>
      <c r="D188" s="45" t="str">
        <f t="shared" si="2"/>
        <v/>
      </c>
      <c r="E188" s="46" t="str">
        <f>IF(OR(A188="",B188=""),"",MAX(0,MIN(B188,Setup!$B$27+Setup!$B$10)-Setup!$B$10))</f>
        <v/>
      </c>
      <c r="F188" s="47" t="str">
        <f>IF(OR(A188="",B188=""),"",MAX(0,B188-Setup!$B$10))</f>
        <v/>
      </c>
    </row>
    <row r="189" spans="1:6" ht="15" customHeight="1">
      <c r="A189" s="48"/>
      <c r="B189" s="49"/>
      <c r="C189" s="43"/>
      <c r="D189" s="45" t="str">
        <f t="shared" si="2"/>
        <v/>
      </c>
      <c r="E189" s="46" t="str">
        <f>IF(OR(A189="",B189=""),"",MAX(0,MIN(B189,Setup!$B$27+Setup!$B$10)-Setup!$B$10))</f>
        <v/>
      </c>
      <c r="F189" s="47" t="str">
        <f>IF(OR(A189="",B189=""),"",MAX(0,B189-Setup!$B$10))</f>
        <v/>
      </c>
    </row>
    <row r="190" spans="1:6" ht="15" customHeight="1">
      <c r="A190" s="48"/>
      <c r="B190" s="49"/>
      <c r="C190" s="43"/>
      <c r="D190" s="45" t="str">
        <f t="shared" si="2"/>
        <v/>
      </c>
      <c r="E190" s="46" t="str">
        <f>IF(OR(A190="",B190=""),"",MAX(0,MIN(B190,Setup!$B$27+Setup!$B$10)-Setup!$B$10))</f>
        <v/>
      </c>
      <c r="F190" s="47" t="str">
        <f>IF(OR(A190="",B190=""),"",MAX(0,B190-Setup!$B$10))</f>
        <v/>
      </c>
    </row>
    <row r="191" spans="1:6" ht="15" customHeight="1">
      <c r="A191" s="48"/>
      <c r="B191" s="49"/>
      <c r="C191" s="43"/>
      <c r="D191" s="45" t="str">
        <f t="shared" si="2"/>
        <v/>
      </c>
      <c r="E191" s="46" t="str">
        <f>IF(OR(A191="",B191=""),"",MAX(0,MIN(B191,Setup!$B$27+Setup!$B$10)-Setup!$B$10))</f>
        <v/>
      </c>
      <c r="F191" s="47" t="str">
        <f>IF(OR(A191="",B191=""),"",MAX(0,B191-Setup!$B$10))</f>
        <v/>
      </c>
    </row>
    <row r="192" spans="1:6" ht="15" customHeight="1">
      <c r="A192" s="48"/>
      <c r="B192" s="49"/>
      <c r="C192" s="43"/>
      <c r="D192" s="45" t="str">
        <f t="shared" si="2"/>
        <v/>
      </c>
      <c r="E192" s="46" t="str">
        <f>IF(OR(A192="",B192=""),"",MAX(0,MIN(B192,Setup!$B$27+Setup!$B$10)-Setup!$B$10))</f>
        <v/>
      </c>
      <c r="F192" s="47" t="str">
        <f>IF(OR(A192="",B192=""),"",MAX(0,B192-Setup!$B$10))</f>
        <v/>
      </c>
    </row>
    <row r="193" spans="1:6" ht="15" customHeight="1">
      <c r="A193" s="48"/>
      <c r="B193" s="49"/>
      <c r="C193" s="43"/>
      <c r="D193" s="45" t="str">
        <f t="shared" si="2"/>
        <v/>
      </c>
      <c r="E193" s="46" t="str">
        <f>IF(OR(A193="",B193=""),"",MAX(0,MIN(B193,Setup!$B$27+Setup!$B$10)-Setup!$B$10))</f>
        <v/>
      </c>
      <c r="F193" s="47" t="str">
        <f>IF(OR(A193="",B193=""),"",MAX(0,B193-Setup!$B$10))</f>
        <v/>
      </c>
    </row>
    <row r="194" spans="1:6" ht="15" customHeight="1">
      <c r="A194" s="48"/>
      <c r="B194" s="49"/>
      <c r="C194" s="43"/>
      <c r="D194" s="45" t="str">
        <f t="shared" si="2"/>
        <v/>
      </c>
      <c r="E194" s="46" t="str">
        <f>IF(OR(A194="",B194=""),"",MAX(0,MIN(B194,Setup!$B$27+Setup!$B$10)-Setup!$B$10))</f>
        <v/>
      </c>
      <c r="F194" s="47" t="str">
        <f>IF(OR(A194="",B194=""),"",MAX(0,B194-Setup!$B$10))</f>
        <v/>
      </c>
    </row>
    <row r="195" spans="1:6" ht="15" customHeight="1">
      <c r="A195" s="48"/>
      <c r="B195" s="49"/>
      <c r="C195" s="43"/>
      <c r="D195" s="45" t="str">
        <f t="shared" ref="D195:D258" si="3">IF(A195="","",YEAR(A195))</f>
        <v/>
      </c>
      <c r="E195" s="46" t="str">
        <f>IF(OR(A195="",B195=""),"",MAX(0,MIN(B195,Setup!$B$27+Setup!$B$10)-Setup!$B$10))</f>
        <v/>
      </c>
      <c r="F195" s="47" t="str">
        <f>IF(OR(A195="",B195=""),"",MAX(0,B195-Setup!$B$10))</f>
        <v/>
      </c>
    </row>
    <row r="196" spans="1:6" ht="15" customHeight="1">
      <c r="A196" s="48"/>
      <c r="B196" s="49"/>
      <c r="C196" s="43"/>
      <c r="D196" s="45" t="str">
        <f t="shared" si="3"/>
        <v/>
      </c>
      <c r="E196" s="46" t="str">
        <f>IF(OR(A196="",B196=""),"",MAX(0,MIN(B196,Setup!$B$27+Setup!$B$10)-Setup!$B$10))</f>
        <v/>
      </c>
      <c r="F196" s="47" t="str">
        <f>IF(OR(A196="",B196=""),"",MAX(0,B196-Setup!$B$10))</f>
        <v/>
      </c>
    </row>
    <row r="197" spans="1:6" ht="15" customHeight="1">
      <c r="A197" s="48"/>
      <c r="B197" s="49"/>
      <c r="C197" s="43"/>
      <c r="D197" s="45" t="str">
        <f t="shared" si="3"/>
        <v/>
      </c>
      <c r="E197" s="46" t="str">
        <f>IF(OR(A197="",B197=""),"",MAX(0,MIN(B197,Setup!$B$27+Setup!$B$10)-Setup!$B$10))</f>
        <v/>
      </c>
      <c r="F197" s="47" t="str">
        <f>IF(OR(A197="",B197=""),"",MAX(0,B197-Setup!$B$10))</f>
        <v/>
      </c>
    </row>
    <row r="198" spans="1:6" ht="15" customHeight="1">
      <c r="A198" s="48"/>
      <c r="B198" s="49"/>
      <c r="C198" s="43"/>
      <c r="D198" s="45" t="str">
        <f t="shared" si="3"/>
        <v/>
      </c>
      <c r="E198" s="46" t="str">
        <f>IF(OR(A198="",B198=""),"",MAX(0,MIN(B198,Setup!$B$27+Setup!$B$10)-Setup!$B$10))</f>
        <v/>
      </c>
      <c r="F198" s="47" t="str">
        <f>IF(OR(A198="",B198=""),"",MAX(0,B198-Setup!$B$10))</f>
        <v/>
      </c>
    </row>
    <row r="199" spans="1:6" ht="15" customHeight="1">
      <c r="A199" s="48"/>
      <c r="B199" s="49"/>
      <c r="C199" s="43"/>
      <c r="D199" s="45" t="str">
        <f t="shared" si="3"/>
        <v/>
      </c>
      <c r="E199" s="46" t="str">
        <f>IF(OR(A199="",B199=""),"",MAX(0,MIN(B199,Setup!$B$27+Setup!$B$10)-Setup!$B$10))</f>
        <v/>
      </c>
      <c r="F199" s="47" t="str">
        <f>IF(OR(A199="",B199=""),"",MAX(0,B199-Setup!$B$10))</f>
        <v/>
      </c>
    </row>
    <row r="200" spans="1:6" ht="15" customHeight="1">
      <c r="A200" s="48"/>
      <c r="B200" s="49"/>
      <c r="C200" s="43"/>
      <c r="D200" s="45" t="str">
        <f t="shared" si="3"/>
        <v/>
      </c>
      <c r="E200" s="46" t="str">
        <f>IF(OR(A200="",B200=""),"",MAX(0,MIN(B200,Setup!$B$27+Setup!$B$10)-Setup!$B$10))</f>
        <v/>
      </c>
      <c r="F200" s="47" t="str">
        <f>IF(OR(A200="",B200=""),"",MAX(0,B200-Setup!$B$10))</f>
        <v/>
      </c>
    </row>
    <row r="201" spans="1:6" ht="15" customHeight="1">
      <c r="A201" s="48"/>
      <c r="B201" s="49"/>
      <c r="C201" s="43"/>
      <c r="D201" s="45" t="str">
        <f t="shared" si="3"/>
        <v/>
      </c>
      <c r="E201" s="46" t="str">
        <f>IF(OR(A201="",B201=""),"",MAX(0,MIN(B201,Setup!$B$27+Setup!$B$10)-Setup!$B$10))</f>
        <v/>
      </c>
      <c r="F201" s="47" t="str">
        <f>IF(OR(A201="",B201=""),"",MAX(0,B201-Setup!$B$10))</f>
        <v/>
      </c>
    </row>
    <row r="202" spans="1:6" ht="15" customHeight="1">
      <c r="A202" s="48"/>
      <c r="B202" s="49"/>
      <c r="C202" s="43"/>
      <c r="D202" s="45" t="str">
        <f t="shared" si="3"/>
        <v/>
      </c>
      <c r="E202" s="46" t="str">
        <f>IF(OR(A202="",B202=""),"",MAX(0,MIN(B202,Setup!$B$27+Setup!$B$10)-Setup!$B$10))</f>
        <v/>
      </c>
      <c r="F202" s="47" t="str">
        <f>IF(OR(A202="",B202=""),"",MAX(0,B202-Setup!$B$10))</f>
        <v/>
      </c>
    </row>
    <row r="203" spans="1:6" ht="15" customHeight="1">
      <c r="A203" s="50"/>
      <c r="B203" s="51"/>
      <c r="C203" s="43"/>
      <c r="D203" s="52" t="str">
        <f t="shared" si="3"/>
        <v/>
      </c>
      <c r="E203" s="47" t="str">
        <f>IF(OR(A203="",B203=""),"",MAX(0,MIN(B203,Setup!$B$27+Setup!$B$10)-Setup!$B$10))</f>
        <v/>
      </c>
      <c r="F203" s="47" t="str">
        <f>IF(OR(A203="",B203=""),"",MAX(0,B203-Setup!$B$10))</f>
        <v/>
      </c>
    </row>
    <row r="204" spans="1:6" ht="15" customHeight="1">
      <c r="A204" s="50"/>
      <c r="B204" s="51"/>
      <c r="C204" s="43"/>
      <c r="D204" s="52" t="str">
        <f t="shared" si="3"/>
        <v/>
      </c>
      <c r="E204" s="47" t="str">
        <f>IF(OR(A204="",B204=""),"",MAX(0,MIN(B204,Setup!$B$27+Setup!$B$10)-Setup!$B$10))</f>
        <v/>
      </c>
      <c r="F204" s="47" t="str">
        <f>IF(OR(A204="",B204=""),"",MAX(0,B204-Setup!$B$10))</f>
        <v/>
      </c>
    </row>
    <row r="205" spans="1:6" ht="15" customHeight="1">
      <c r="A205" s="50"/>
      <c r="B205" s="51"/>
      <c r="C205" s="43"/>
      <c r="D205" s="52" t="str">
        <f t="shared" si="3"/>
        <v/>
      </c>
      <c r="E205" s="47" t="str">
        <f>IF(OR(A205="",B205=""),"",MAX(0,MIN(B205,Setup!$B$27+Setup!$B$10)-Setup!$B$10))</f>
        <v/>
      </c>
      <c r="F205" s="47" t="str">
        <f>IF(OR(A205="",B205=""),"",MAX(0,B205-Setup!$B$10))</f>
        <v/>
      </c>
    </row>
    <row r="206" spans="1:6" ht="15" customHeight="1">
      <c r="A206" s="50"/>
      <c r="B206" s="51"/>
      <c r="C206" s="43"/>
      <c r="D206" s="52" t="str">
        <f t="shared" si="3"/>
        <v/>
      </c>
      <c r="E206" s="47" t="str">
        <f>IF(OR(A206="",B206=""),"",MAX(0,MIN(B206,Setup!$B$27+Setup!$B$10)-Setup!$B$10))</f>
        <v/>
      </c>
      <c r="F206" s="47" t="str">
        <f>IF(OR(A206="",B206=""),"",MAX(0,B206-Setup!$B$10))</f>
        <v/>
      </c>
    </row>
    <row r="207" spans="1:6" ht="15" customHeight="1">
      <c r="A207" s="50"/>
      <c r="B207" s="51"/>
      <c r="C207" s="43"/>
      <c r="D207" s="52" t="str">
        <f t="shared" si="3"/>
        <v/>
      </c>
      <c r="E207" s="47" t="str">
        <f>IF(OR(A207="",B207=""),"",MAX(0,MIN(B207,Setup!$B$27+Setup!$B$10)-Setup!$B$10))</f>
        <v/>
      </c>
      <c r="F207" s="47" t="str">
        <f>IF(OR(A207="",B207=""),"",MAX(0,B207-Setup!$B$10))</f>
        <v/>
      </c>
    </row>
    <row r="208" spans="1:6" ht="15" customHeight="1">
      <c r="A208" s="50"/>
      <c r="B208" s="51"/>
      <c r="C208" s="43"/>
      <c r="D208" s="52" t="str">
        <f t="shared" si="3"/>
        <v/>
      </c>
      <c r="E208" s="47" t="str">
        <f>IF(OR(A208="",B208=""),"",MAX(0,MIN(B208,Setup!$B$27+Setup!$B$10)-Setup!$B$10))</f>
        <v/>
      </c>
      <c r="F208" s="47" t="str">
        <f>IF(OR(A208="",B208=""),"",MAX(0,B208-Setup!$B$10))</f>
        <v/>
      </c>
    </row>
    <row r="209" spans="1:6" ht="15" customHeight="1">
      <c r="A209" s="50"/>
      <c r="B209" s="51"/>
      <c r="C209" s="43"/>
      <c r="D209" s="52" t="str">
        <f t="shared" si="3"/>
        <v/>
      </c>
      <c r="E209" s="47" t="str">
        <f>IF(OR(A209="",B209=""),"",MAX(0,MIN(B209,Setup!$B$27+Setup!$B$10)-Setup!$B$10))</f>
        <v/>
      </c>
      <c r="F209" s="47" t="str">
        <f>IF(OR(A209="",B209=""),"",MAX(0,B209-Setup!$B$10))</f>
        <v/>
      </c>
    </row>
    <row r="210" spans="1:6" ht="15" customHeight="1">
      <c r="A210" s="50"/>
      <c r="B210" s="51"/>
      <c r="C210" s="43"/>
      <c r="D210" s="52" t="str">
        <f t="shared" si="3"/>
        <v/>
      </c>
      <c r="E210" s="47" t="str">
        <f>IF(OR(A210="",B210=""),"",MAX(0,MIN(B210,Setup!$B$27+Setup!$B$10)-Setup!$B$10))</f>
        <v/>
      </c>
      <c r="F210" s="47" t="str">
        <f>IF(OR(A210="",B210=""),"",MAX(0,B210-Setup!$B$10))</f>
        <v/>
      </c>
    </row>
    <row r="211" spans="1:6" ht="15" customHeight="1">
      <c r="A211" s="50"/>
      <c r="B211" s="51"/>
      <c r="C211" s="43"/>
      <c r="D211" s="52" t="str">
        <f t="shared" si="3"/>
        <v/>
      </c>
      <c r="E211" s="47" t="str">
        <f>IF(OR(A211="",B211=""),"",MAX(0,MIN(B211,Setup!$B$27+Setup!$B$10)-Setup!$B$10))</f>
        <v/>
      </c>
      <c r="F211" s="47" t="str">
        <f>IF(OR(A211="",B211=""),"",MAX(0,B211-Setup!$B$10))</f>
        <v/>
      </c>
    </row>
    <row r="212" spans="1:6" ht="15" customHeight="1">
      <c r="A212" s="50"/>
      <c r="B212" s="51"/>
      <c r="C212" s="43"/>
      <c r="D212" s="52" t="str">
        <f t="shared" si="3"/>
        <v/>
      </c>
      <c r="E212" s="47" t="str">
        <f>IF(OR(A212="",B212=""),"",MAX(0,MIN(B212,Setup!$B$27+Setup!$B$10)-Setup!$B$10))</f>
        <v/>
      </c>
      <c r="F212" s="47" t="str">
        <f>IF(OR(A212="",B212=""),"",MAX(0,B212-Setup!$B$10))</f>
        <v/>
      </c>
    </row>
    <row r="213" spans="1:6" ht="15" customHeight="1">
      <c r="A213" s="50"/>
      <c r="B213" s="51"/>
      <c r="C213" s="43"/>
      <c r="D213" s="52" t="str">
        <f t="shared" si="3"/>
        <v/>
      </c>
      <c r="E213" s="47" t="str">
        <f>IF(OR(A213="",B213=""),"",MAX(0,MIN(B213,Setup!$B$27+Setup!$B$10)-Setup!$B$10))</f>
        <v/>
      </c>
      <c r="F213" s="47" t="str">
        <f>IF(OR(A213="",B213=""),"",MAX(0,B213-Setup!$B$10))</f>
        <v/>
      </c>
    </row>
    <row r="214" spans="1:6" ht="15" customHeight="1">
      <c r="A214" s="50"/>
      <c r="B214" s="51"/>
      <c r="C214" s="43"/>
      <c r="D214" s="52" t="str">
        <f t="shared" si="3"/>
        <v/>
      </c>
      <c r="E214" s="47" t="str">
        <f>IF(OR(A214="",B214=""),"",MAX(0,MIN(B214,Setup!$B$27+Setup!$B$10)-Setup!$B$10))</f>
        <v/>
      </c>
      <c r="F214" s="47" t="str">
        <f>IF(OR(A214="",B214=""),"",MAX(0,B214-Setup!$B$10))</f>
        <v/>
      </c>
    </row>
    <row r="215" spans="1:6" ht="15" customHeight="1">
      <c r="A215" s="50"/>
      <c r="B215" s="51"/>
      <c r="C215" s="43"/>
      <c r="D215" s="52" t="str">
        <f t="shared" si="3"/>
        <v/>
      </c>
      <c r="E215" s="47" t="str">
        <f>IF(OR(A215="",B215=""),"",MAX(0,MIN(B215,Setup!$B$27+Setup!$B$10)-Setup!$B$10))</f>
        <v/>
      </c>
      <c r="F215" s="47" t="str">
        <f>IF(OR(A215="",B215=""),"",MAX(0,B215-Setup!$B$10))</f>
        <v/>
      </c>
    </row>
    <row r="216" spans="1:6" ht="15" customHeight="1">
      <c r="A216" s="50"/>
      <c r="B216" s="51"/>
      <c r="C216" s="43"/>
      <c r="D216" s="52" t="str">
        <f t="shared" si="3"/>
        <v/>
      </c>
      <c r="E216" s="47" t="str">
        <f>IF(OR(A216="",B216=""),"",MAX(0,MIN(B216,Setup!$B$27+Setup!$B$10)-Setup!$B$10))</f>
        <v/>
      </c>
      <c r="F216" s="47" t="str">
        <f>IF(OR(A216="",B216=""),"",MAX(0,B216-Setup!$B$10))</f>
        <v/>
      </c>
    </row>
    <row r="217" spans="1:6" ht="15" customHeight="1">
      <c r="A217" s="50"/>
      <c r="B217" s="51"/>
      <c r="C217" s="43"/>
      <c r="D217" s="52" t="str">
        <f t="shared" si="3"/>
        <v/>
      </c>
      <c r="E217" s="47" t="str">
        <f>IF(OR(A217="",B217=""),"",MAX(0,MIN(B217,Setup!$B$27+Setup!$B$10)-Setup!$B$10))</f>
        <v/>
      </c>
      <c r="F217" s="47" t="str">
        <f>IF(OR(A217="",B217=""),"",MAX(0,B217-Setup!$B$10))</f>
        <v/>
      </c>
    </row>
    <row r="218" spans="1:6" ht="15" customHeight="1">
      <c r="A218" s="50"/>
      <c r="B218" s="51"/>
      <c r="C218" s="43"/>
      <c r="D218" s="52" t="str">
        <f t="shared" si="3"/>
        <v/>
      </c>
      <c r="E218" s="47" t="str">
        <f>IF(OR(A218="",B218=""),"",MAX(0,MIN(B218,Setup!$B$27+Setup!$B$10)-Setup!$B$10))</f>
        <v/>
      </c>
      <c r="F218" s="47" t="str">
        <f>IF(OR(A218="",B218=""),"",MAX(0,B218-Setup!$B$10))</f>
        <v/>
      </c>
    </row>
    <row r="219" spans="1:6" ht="15" customHeight="1">
      <c r="A219" s="50"/>
      <c r="B219" s="51"/>
      <c r="C219" s="43"/>
      <c r="D219" s="52" t="str">
        <f t="shared" si="3"/>
        <v/>
      </c>
      <c r="E219" s="47" t="str">
        <f>IF(OR(A219="",B219=""),"",MAX(0,MIN(B219,Setup!$B$27+Setup!$B$10)-Setup!$B$10))</f>
        <v/>
      </c>
      <c r="F219" s="47" t="str">
        <f>IF(OR(A219="",B219=""),"",MAX(0,B219-Setup!$B$10))</f>
        <v/>
      </c>
    </row>
    <row r="220" spans="1:6" ht="15" customHeight="1">
      <c r="A220" s="50"/>
      <c r="B220" s="51"/>
      <c r="C220" s="43"/>
      <c r="D220" s="52" t="str">
        <f t="shared" si="3"/>
        <v/>
      </c>
      <c r="E220" s="47" t="str">
        <f>IF(OR(A220="",B220=""),"",MAX(0,MIN(B220,Setup!$B$27+Setup!$B$10)-Setup!$B$10))</f>
        <v/>
      </c>
      <c r="F220" s="47" t="str">
        <f>IF(OR(A220="",B220=""),"",MAX(0,B220-Setup!$B$10))</f>
        <v/>
      </c>
    </row>
    <row r="221" spans="1:6" ht="15" customHeight="1">
      <c r="A221" s="50"/>
      <c r="B221" s="51"/>
      <c r="C221" s="43"/>
      <c r="D221" s="52" t="str">
        <f t="shared" si="3"/>
        <v/>
      </c>
      <c r="E221" s="47" t="str">
        <f>IF(OR(A221="",B221=""),"",MAX(0,MIN(B221,Setup!$B$27+Setup!$B$10)-Setup!$B$10))</f>
        <v/>
      </c>
      <c r="F221" s="47" t="str">
        <f>IF(OR(A221="",B221=""),"",MAX(0,B221-Setup!$B$10))</f>
        <v/>
      </c>
    </row>
    <row r="222" spans="1:6" ht="15" customHeight="1">
      <c r="A222" s="50"/>
      <c r="B222" s="51"/>
      <c r="C222" s="43"/>
      <c r="D222" s="52" t="str">
        <f t="shared" si="3"/>
        <v/>
      </c>
      <c r="E222" s="47" t="str">
        <f>IF(OR(A222="",B222=""),"",MAX(0,MIN(B222,Setup!$B$27+Setup!$B$10)-Setup!$B$10))</f>
        <v/>
      </c>
      <c r="F222" s="47" t="str">
        <f>IF(OR(A222="",B222=""),"",MAX(0,B222-Setup!$B$10))</f>
        <v/>
      </c>
    </row>
    <row r="223" spans="1:6" ht="15" customHeight="1">
      <c r="A223" s="50"/>
      <c r="B223" s="51"/>
      <c r="C223" s="43"/>
      <c r="D223" s="52" t="str">
        <f t="shared" si="3"/>
        <v/>
      </c>
      <c r="E223" s="47" t="str">
        <f>IF(OR(A223="",B223=""),"",MAX(0,MIN(B223,Setup!$B$27+Setup!$B$10)-Setup!$B$10))</f>
        <v/>
      </c>
      <c r="F223" s="47" t="str">
        <f>IF(OR(A223="",B223=""),"",MAX(0,B223-Setup!$B$10))</f>
        <v/>
      </c>
    </row>
    <row r="224" spans="1:6" ht="15" customHeight="1">
      <c r="A224" s="50"/>
      <c r="B224" s="51"/>
      <c r="C224" s="43"/>
      <c r="D224" s="52" t="str">
        <f t="shared" si="3"/>
        <v/>
      </c>
      <c r="E224" s="47" t="str">
        <f>IF(OR(A224="",B224=""),"",MAX(0,MIN(B224,Setup!$B$27+Setup!$B$10)-Setup!$B$10))</f>
        <v/>
      </c>
      <c r="F224" s="47" t="str">
        <f>IF(OR(A224="",B224=""),"",MAX(0,B224-Setup!$B$10))</f>
        <v/>
      </c>
    </row>
    <row r="225" spans="1:6" ht="15" customHeight="1">
      <c r="A225" s="50"/>
      <c r="B225" s="51"/>
      <c r="C225" s="43"/>
      <c r="D225" s="52" t="str">
        <f t="shared" si="3"/>
        <v/>
      </c>
      <c r="E225" s="47" t="str">
        <f>IF(OR(A225="",B225=""),"",MAX(0,MIN(B225,Setup!$B$27+Setup!$B$10)-Setup!$B$10))</f>
        <v/>
      </c>
      <c r="F225" s="47" t="str">
        <f>IF(OR(A225="",B225=""),"",MAX(0,B225-Setup!$B$10))</f>
        <v/>
      </c>
    </row>
    <row r="226" spans="1:6" ht="15" customHeight="1">
      <c r="A226" s="50"/>
      <c r="B226" s="51"/>
      <c r="C226" s="43"/>
      <c r="D226" s="52" t="str">
        <f t="shared" si="3"/>
        <v/>
      </c>
      <c r="E226" s="47" t="str">
        <f>IF(OR(A226="",B226=""),"",MAX(0,MIN(B226,Setup!$B$27+Setup!$B$10)-Setup!$B$10))</f>
        <v/>
      </c>
      <c r="F226" s="47" t="str">
        <f>IF(OR(A226="",B226=""),"",MAX(0,B226-Setup!$B$10))</f>
        <v/>
      </c>
    </row>
    <row r="227" spans="1:6" ht="15" customHeight="1">
      <c r="A227" s="50"/>
      <c r="B227" s="51"/>
      <c r="C227" s="43"/>
      <c r="D227" s="52" t="str">
        <f t="shared" si="3"/>
        <v/>
      </c>
      <c r="E227" s="47" t="str">
        <f>IF(OR(A227="",B227=""),"",MAX(0,MIN(B227,Setup!$B$27+Setup!$B$10)-Setup!$B$10))</f>
        <v/>
      </c>
      <c r="F227" s="47" t="str">
        <f>IF(OR(A227="",B227=""),"",MAX(0,B227-Setup!$B$10))</f>
        <v/>
      </c>
    </row>
    <row r="228" spans="1:6" ht="15" customHeight="1">
      <c r="A228" s="50"/>
      <c r="B228" s="51"/>
      <c r="C228" s="43"/>
      <c r="D228" s="52" t="str">
        <f t="shared" si="3"/>
        <v/>
      </c>
      <c r="E228" s="47" t="str">
        <f>IF(OR(A228="",B228=""),"",MAX(0,MIN(B228,Setup!$B$27+Setup!$B$10)-Setup!$B$10))</f>
        <v/>
      </c>
      <c r="F228" s="47" t="str">
        <f>IF(OR(A228="",B228=""),"",MAX(0,B228-Setup!$B$10))</f>
        <v/>
      </c>
    </row>
    <row r="229" spans="1:6" ht="15" customHeight="1">
      <c r="A229" s="50"/>
      <c r="B229" s="51"/>
      <c r="C229" s="43"/>
      <c r="D229" s="52" t="str">
        <f t="shared" si="3"/>
        <v/>
      </c>
      <c r="E229" s="47" t="str">
        <f>IF(OR(A229="",B229=""),"",MAX(0,MIN(B229,Setup!$B$27+Setup!$B$10)-Setup!$B$10))</f>
        <v/>
      </c>
      <c r="F229" s="47" t="str">
        <f>IF(OR(A229="",B229=""),"",MAX(0,B229-Setup!$B$10))</f>
        <v/>
      </c>
    </row>
    <row r="230" spans="1:6" ht="15" customHeight="1">
      <c r="A230" s="50"/>
      <c r="B230" s="51"/>
      <c r="C230" s="43"/>
      <c r="D230" s="52" t="str">
        <f t="shared" si="3"/>
        <v/>
      </c>
      <c r="E230" s="47" t="str">
        <f>IF(OR(A230="",B230=""),"",MAX(0,MIN(B230,Setup!$B$27+Setup!$B$10)-Setup!$B$10))</f>
        <v/>
      </c>
      <c r="F230" s="47" t="str">
        <f>IF(OR(A230="",B230=""),"",MAX(0,B230-Setup!$B$10))</f>
        <v/>
      </c>
    </row>
    <row r="231" spans="1:6" ht="15" customHeight="1">
      <c r="A231" s="50"/>
      <c r="B231" s="51"/>
      <c r="C231" s="43"/>
      <c r="D231" s="52" t="str">
        <f t="shared" si="3"/>
        <v/>
      </c>
      <c r="E231" s="47" t="str">
        <f>IF(OR(A231="",B231=""),"",MAX(0,MIN(B231,Setup!$B$27+Setup!$B$10)-Setup!$B$10))</f>
        <v/>
      </c>
      <c r="F231" s="47" t="str">
        <f>IF(OR(A231="",B231=""),"",MAX(0,B231-Setup!$B$10))</f>
        <v/>
      </c>
    </row>
    <row r="232" spans="1:6" ht="15" customHeight="1">
      <c r="A232" s="50"/>
      <c r="B232" s="51"/>
      <c r="C232" s="43"/>
      <c r="D232" s="52" t="str">
        <f t="shared" si="3"/>
        <v/>
      </c>
      <c r="E232" s="47" t="str">
        <f>IF(OR(A232="",B232=""),"",MAX(0,MIN(B232,Setup!$B$27+Setup!$B$10)-Setup!$B$10))</f>
        <v/>
      </c>
      <c r="F232" s="47" t="str">
        <f>IF(OR(A232="",B232=""),"",MAX(0,B232-Setup!$B$10))</f>
        <v/>
      </c>
    </row>
    <row r="233" spans="1:6" ht="15" customHeight="1">
      <c r="A233" s="50"/>
      <c r="B233" s="51"/>
      <c r="C233" s="43"/>
      <c r="D233" s="52" t="str">
        <f t="shared" si="3"/>
        <v/>
      </c>
      <c r="E233" s="47" t="str">
        <f>IF(OR(A233="",B233=""),"",MAX(0,MIN(B233,Setup!$B$27+Setup!$B$10)-Setup!$B$10))</f>
        <v/>
      </c>
      <c r="F233" s="47" t="str">
        <f>IF(OR(A233="",B233=""),"",MAX(0,B233-Setup!$B$10))</f>
        <v/>
      </c>
    </row>
    <row r="234" spans="1:6" ht="15" customHeight="1">
      <c r="A234" s="50"/>
      <c r="B234" s="51"/>
      <c r="C234" s="43"/>
      <c r="D234" s="52" t="str">
        <f t="shared" si="3"/>
        <v/>
      </c>
      <c r="E234" s="47" t="str">
        <f>IF(OR(A234="",B234=""),"",MAX(0,MIN(B234,Setup!$B$27+Setup!$B$10)-Setup!$B$10))</f>
        <v/>
      </c>
      <c r="F234" s="47" t="str">
        <f>IF(OR(A234="",B234=""),"",MAX(0,B234-Setup!$B$10))</f>
        <v/>
      </c>
    </row>
    <row r="235" spans="1:6" ht="15" customHeight="1">
      <c r="A235" s="50"/>
      <c r="B235" s="51"/>
      <c r="C235" s="43"/>
      <c r="D235" s="52" t="str">
        <f t="shared" si="3"/>
        <v/>
      </c>
      <c r="E235" s="47" t="str">
        <f>IF(OR(A235="",B235=""),"",MAX(0,MIN(B235,Setup!$B$27+Setup!$B$10)-Setup!$B$10))</f>
        <v/>
      </c>
      <c r="F235" s="47" t="str">
        <f>IF(OR(A235="",B235=""),"",MAX(0,B235-Setup!$B$10))</f>
        <v/>
      </c>
    </row>
    <row r="236" spans="1:6" ht="15" customHeight="1">
      <c r="A236" s="50"/>
      <c r="B236" s="51"/>
      <c r="C236" s="43"/>
      <c r="D236" s="52" t="str">
        <f t="shared" si="3"/>
        <v/>
      </c>
      <c r="E236" s="47" t="str">
        <f>IF(OR(A236="",B236=""),"",MAX(0,MIN(B236,Setup!$B$27+Setup!$B$10)-Setup!$B$10))</f>
        <v/>
      </c>
      <c r="F236" s="47" t="str">
        <f>IF(OR(A236="",B236=""),"",MAX(0,B236-Setup!$B$10))</f>
        <v/>
      </c>
    </row>
    <row r="237" spans="1:6" ht="15" customHeight="1">
      <c r="A237" s="50"/>
      <c r="B237" s="51"/>
      <c r="C237" s="43"/>
      <c r="D237" s="52" t="str">
        <f t="shared" si="3"/>
        <v/>
      </c>
      <c r="E237" s="47" t="str">
        <f>IF(OR(A237="",B237=""),"",MAX(0,MIN(B237,Setup!$B$27+Setup!$B$10)-Setup!$B$10))</f>
        <v/>
      </c>
      <c r="F237" s="47" t="str">
        <f>IF(OR(A237="",B237=""),"",MAX(0,B237-Setup!$B$10))</f>
        <v/>
      </c>
    </row>
    <row r="238" spans="1:6" ht="15" customHeight="1">
      <c r="A238" s="50"/>
      <c r="B238" s="51"/>
      <c r="C238" s="43"/>
      <c r="D238" s="52" t="str">
        <f t="shared" si="3"/>
        <v/>
      </c>
      <c r="E238" s="47" t="str">
        <f>IF(OR(A238="",B238=""),"",MAX(0,MIN(B238,Setup!$B$27+Setup!$B$10)-Setup!$B$10))</f>
        <v/>
      </c>
      <c r="F238" s="47" t="str">
        <f>IF(OR(A238="",B238=""),"",MAX(0,B238-Setup!$B$10))</f>
        <v/>
      </c>
    </row>
    <row r="239" spans="1:6" ht="15" customHeight="1">
      <c r="A239" s="50"/>
      <c r="B239" s="51"/>
      <c r="C239" s="43"/>
      <c r="D239" s="52" t="str">
        <f t="shared" si="3"/>
        <v/>
      </c>
      <c r="E239" s="47" t="str">
        <f>IF(OR(A239="",B239=""),"",MAX(0,MIN(B239,Setup!$B$27+Setup!$B$10)-Setup!$B$10))</f>
        <v/>
      </c>
      <c r="F239" s="47" t="str">
        <f>IF(OR(A239="",B239=""),"",MAX(0,B239-Setup!$B$10))</f>
        <v/>
      </c>
    </row>
    <row r="240" spans="1:6" ht="15" customHeight="1">
      <c r="A240" s="50"/>
      <c r="B240" s="51"/>
      <c r="C240" s="43"/>
      <c r="D240" s="52" t="str">
        <f t="shared" si="3"/>
        <v/>
      </c>
      <c r="E240" s="47" t="str">
        <f>IF(OR(A240="",B240=""),"",MAX(0,MIN(B240,Setup!$B$27+Setup!$B$10)-Setup!$B$10))</f>
        <v/>
      </c>
      <c r="F240" s="47" t="str">
        <f>IF(OR(A240="",B240=""),"",MAX(0,B240-Setup!$B$10))</f>
        <v/>
      </c>
    </row>
    <row r="241" spans="1:6" ht="15" customHeight="1">
      <c r="A241" s="50"/>
      <c r="B241" s="51"/>
      <c r="C241" s="43"/>
      <c r="D241" s="52" t="str">
        <f t="shared" si="3"/>
        <v/>
      </c>
      <c r="E241" s="47" t="str">
        <f>IF(OR(A241="",B241=""),"",MAX(0,MIN(B241,Setup!$B$27+Setup!$B$10)-Setup!$B$10))</f>
        <v/>
      </c>
      <c r="F241" s="47" t="str">
        <f>IF(OR(A241="",B241=""),"",MAX(0,B241-Setup!$B$10))</f>
        <v/>
      </c>
    </row>
    <row r="242" spans="1:6" ht="15" customHeight="1">
      <c r="A242" s="50"/>
      <c r="B242" s="51"/>
      <c r="C242" s="43"/>
      <c r="D242" s="52" t="str">
        <f t="shared" si="3"/>
        <v/>
      </c>
      <c r="E242" s="47" t="str">
        <f>IF(OR(A242="",B242=""),"",MAX(0,MIN(B242,Setup!$B$27+Setup!$B$10)-Setup!$B$10))</f>
        <v/>
      </c>
      <c r="F242" s="47" t="str">
        <f>IF(OR(A242="",B242=""),"",MAX(0,B242-Setup!$B$10))</f>
        <v/>
      </c>
    </row>
    <row r="243" spans="1:6" ht="15" customHeight="1">
      <c r="A243" s="50"/>
      <c r="B243" s="51"/>
      <c r="C243" s="43"/>
      <c r="D243" s="52" t="str">
        <f t="shared" si="3"/>
        <v/>
      </c>
      <c r="E243" s="47" t="str">
        <f>IF(OR(A243="",B243=""),"",MAX(0,MIN(B243,Setup!$B$27+Setup!$B$10)-Setup!$B$10))</f>
        <v/>
      </c>
      <c r="F243" s="47" t="str">
        <f>IF(OR(A243="",B243=""),"",MAX(0,B243-Setup!$B$10))</f>
        <v/>
      </c>
    </row>
    <row r="244" spans="1:6" ht="15" customHeight="1">
      <c r="A244" s="50"/>
      <c r="B244" s="51"/>
      <c r="C244" s="43"/>
      <c r="D244" s="52" t="str">
        <f t="shared" si="3"/>
        <v/>
      </c>
      <c r="E244" s="47" t="str">
        <f>IF(OR(A244="",B244=""),"",MAX(0,MIN(B244,Setup!$B$27+Setup!$B$10)-Setup!$B$10))</f>
        <v/>
      </c>
      <c r="F244" s="47" t="str">
        <f>IF(OR(A244="",B244=""),"",MAX(0,B244-Setup!$B$10))</f>
        <v/>
      </c>
    </row>
    <row r="245" spans="1:6" ht="15" customHeight="1">
      <c r="A245" s="50"/>
      <c r="B245" s="51"/>
      <c r="C245" s="43"/>
      <c r="D245" s="52" t="str">
        <f t="shared" si="3"/>
        <v/>
      </c>
      <c r="E245" s="47" t="str">
        <f>IF(OR(A245="",B245=""),"",MAX(0,MIN(B245,Setup!$B$27+Setup!$B$10)-Setup!$B$10))</f>
        <v/>
      </c>
      <c r="F245" s="47" t="str">
        <f>IF(OR(A245="",B245=""),"",MAX(0,B245-Setup!$B$10))</f>
        <v/>
      </c>
    </row>
    <row r="246" spans="1:6" ht="15" customHeight="1">
      <c r="A246" s="50"/>
      <c r="B246" s="51"/>
      <c r="C246" s="43"/>
      <c r="D246" s="52" t="str">
        <f t="shared" si="3"/>
        <v/>
      </c>
      <c r="E246" s="47" t="str">
        <f>IF(OR(A246="",B246=""),"",MAX(0,MIN(B246,Setup!$B$27+Setup!$B$10)-Setup!$B$10))</f>
        <v/>
      </c>
      <c r="F246" s="47" t="str">
        <f>IF(OR(A246="",B246=""),"",MAX(0,B246-Setup!$B$10))</f>
        <v/>
      </c>
    </row>
    <row r="247" spans="1:6" ht="15" customHeight="1">
      <c r="A247" s="50"/>
      <c r="B247" s="51"/>
      <c r="C247" s="43"/>
      <c r="D247" s="52" t="str">
        <f t="shared" si="3"/>
        <v/>
      </c>
      <c r="E247" s="47" t="str">
        <f>IF(OR(A247="",B247=""),"",MAX(0,MIN(B247,Setup!$B$27+Setup!$B$10)-Setup!$B$10))</f>
        <v/>
      </c>
      <c r="F247" s="47" t="str">
        <f>IF(OR(A247="",B247=""),"",MAX(0,B247-Setup!$B$10))</f>
        <v/>
      </c>
    </row>
    <row r="248" spans="1:6" ht="15" customHeight="1">
      <c r="A248" s="50"/>
      <c r="B248" s="51"/>
      <c r="C248" s="43"/>
      <c r="D248" s="52" t="str">
        <f t="shared" si="3"/>
        <v/>
      </c>
      <c r="E248" s="47" t="str">
        <f>IF(OR(A248="",B248=""),"",MAX(0,MIN(B248,Setup!$B$27+Setup!$B$10)-Setup!$B$10))</f>
        <v/>
      </c>
      <c r="F248" s="47" t="str">
        <f>IF(OR(A248="",B248=""),"",MAX(0,B248-Setup!$B$10))</f>
        <v/>
      </c>
    </row>
    <row r="249" spans="1:6" ht="15" customHeight="1">
      <c r="A249" s="50"/>
      <c r="B249" s="51"/>
      <c r="C249" s="43"/>
      <c r="D249" s="52" t="str">
        <f t="shared" si="3"/>
        <v/>
      </c>
      <c r="E249" s="47" t="str">
        <f>IF(OR(A249="",B249=""),"",MAX(0,MIN(B249,Setup!$B$27+Setup!$B$10)-Setup!$B$10))</f>
        <v/>
      </c>
      <c r="F249" s="47" t="str">
        <f>IF(OR(A249="",B249=""),"",MAX(0,B249-Setup!$B$10))</f>
        <v/>
      </c>
    </row>
    <row r="250" spans="1:6" ht="15" customHeight="1">
      <c r="A250" s="50"/>
      <c r="B250" s="51"/>
      <c r="C250" s="43"/>
      <c r="D250" s="52" t="str">
        <f t="shared" si="3"/>
        <v/>
      </c>
      <c r="E250" s="47" t="str">
        <f>IF(OR(A250="",B250=""),"",MAX(0,MIN(B250,Setup!$B$27+Setup!$B$10)-Setup!$B$10))</f>
        <v/>
      </c>
      <c r="F250" s="47" t="str">
        <f>IF(OR(A250="",B250=""),"",MAX(0,B250-Setup!$B$10))</f>
        <v/>
      </c>
    </row>
    <row r="251" spans="1:6" ht="15" customHeight="1">
      <c r="A251" s="50"/>
      <c r="B251" s="51"/>
      <c r="C251" s="43"/>
      <c r="D251" s="52" t="str">
        <f t="shared" si="3"/>
        <v/>
      </c>
      <c r="E251" s="47" t="str">
        <f>IF(OR(A251="",B251=""),"",MAX(0,MIN(B251,Setup!$B$27+Setup!$B$10)-Setup!$B$10))</f>
        <v/>
      </c>
      <c r="F251" s="47" t="str">
        <f>IF(OR(A251="",B251=""),"",MAX(0,B251-Setup!$B$10))</f>
        <v/>
      </c>
    </row>
    <row r="252" spans="1:6" ht="15" customHeight="1">
      <c r="A252" s="50"/>
      <c r="B252" s="51"/>
      <c r="C252" s="43"/>
      <c r="D252" s="52" t="str">
        <f t="shared" si="3"/>
        <v/>
      </c>
      <c r="E252" s="47" t="str">
        <f>IF(OR(A252="",B252=""),"",MAX(0,MIN(B252,Setup!$B$27+Setup!$B$10)-Setup!$B$10))</f>
        <v/>
      </c>
      <c r="F252" s="47" t="str">
        <f>IF(OR(A252="",B252=""),"",MAX(0,B252-Setup!$B$10))</f>
        <v/>
      </c>
    </row>
    <row r="253" spans="1:6" ht="15" customHeight="1">
      <c r="A253" s="50"/>
      <c r="B253" s="51"/>
      <c r="C253" s="43"/>
      <c r="D253" s="52" t="str">
        <f t="shared" si="3"/>
        <v/>
      </c>
      <c r="E253" s="47" t="str">
        <f>IF(OR(A253="",B253=""),"",MAX(0,MIN(B253,Setup!$B$27+Setup!$B$10)-Setup!$B$10))</f>
        <v/>
      </c>
      <c r="F253" s="47" t="str">
        <f>IF(OR(A253="",B253=""),"",MAX(0,B253-Setup!$B$10))</f>
        <v/>
      </c>
    </row>
    <row r="254" spans="1:6" ht="15" customHeight="1">
      <c r="A254" s="50"/>
      <c r="B254" s="51"/>
      <c r="C254" s="43"/>
      <c r="D254" s="52" t="str">
        <f t="shared" si="3"/>
        <v/>
      </c>
      <c r="E254" s="47" t="str">
        <f>IF(OR(A254="",B254=""),"",MAX(0,MIN(B254,Setup!$B$27+Setup!$B$10)-Setup!$B$10))</f>
        <v/>
      </c>
      <c r="F254" s="47" t="str">
        <f>IF(OR(A254="",B254=""),"",MAX(0,B254-Setup!$B$10))</f>
        <v/>
      </c>
    </row>
    <row r="255" spans="1:6" ht="15" customHeight="1">
      <c r="A255" s="50"/>
      <c r="B255" s="51"/>
      <c r="C255" s="43"/>
      <c r="D255" s="52" t="str">
        <f t="shared" si="3"/>
        <v/>
      </c>
      <c r="E255" s="47" t="str">
        <f>IF(OR(A255="",B255=""),"",MAX(0,MIN(B255,Setup!$B$27+Setup!$B$10)-Setup!$B$10))</f>
        <v/>
      </c>
      <c r="F255" s="47" t="str">
        <f>IF(OR(A255="",B255=""),"",MAX(0,B255-Setup!$B$10))</f>
        <v/>
      </c>
    </row>
    <row r="256" spans="1:6" ht="15" customHeight="1">
      <c r="A256" s="50"/>
      <c r="B256" s="51"/>
      <c r="C256" s="43"/>
      <c r="D256" s="52" t="str">
        <f t="shared" si="3"/>
        <v/>
      </c>
      <c r="E256" s="47" t="str">
        <f>IF(OR(A256="",B256=""),"",MAX(0,MIN(B256,Setup!$B$27+Setup!$B$10)-Setup!$B$10))</f>
        <v/>
      </c>
      <c r="F256" s="47" t="str">
        <f>IF(OR(A256="",B256=""),"",MAX(0,B256-Setup!$B$10))</f>
        <v/>
      </c>
    </row>
    <row r="257" spans="1:6" ht="15" customHeight="1">
      <c r="A257" s="50"/>
      <c r="B257" s="51"/>
      <c r="C257" s="43"/>
      <c r="D257" s="52" t="str">
        <f t="shared" si="3"/>
        <v/>
      </c>
      <c r="E257" s="47" t="str">
        <f>IF(OR(A257="",B257=""),"",MAX(0,MIN(B257,Setup!$B$27+Setup!$B$10)-Setup!$B$10))</f>
        <v/>
      </c>
      <c r="F257" s="47" t="str">
        <f>IF(OR(A257="",B257=""),"",MAX(0,B257-Setup!$B$10))</f>
        <v/>
      </c>
    </row>
    <row r="258" spans="1:6" ht="15" customHeight="1">
      <c r="A258" s="50"/>
      <c r="B258" s="51"/>
      <c r="C258" s="43"/>
      <c r="D258" s="52" t="str">
        <f t="shared" si="3"/>
        <v/>
      </c>
      <c r="E258" s="47" t="str">
        <f>IF(OR(A258="",B258=""),"",MAX(0,MIN(B258,Setup!$B$27+Setup!$B$10)-Setup!$B$10))</f>
        <v/>
      </c>
      <c r="F258" s="47" t="str">
        <f>IF(OR(A258="",B258=""),"",MAX(0,B258-Setup!$B$10))</f>
        <v/>
      </c>
    </row>
    <row r="259" spans="1:6" ht="15" customHeight="1">
      <c r="A259" s="50"/>
      <c r="B259" s="51"/>
      <c r="C259" s="43"/>
      <c r="D259" s="52" t="str">
        <f t="shared" ref="D259:D322" si="4">IF(A259="","",YEAR(A259))</f>
        <v/>
      </c>
      <c r="E259" s="47" t="str">
        <f>IF(OR(A259="",B259=""),"",MAX(0,MIN(B259,Setup!$B$27+Setup!$B$10)-Setup!$B$10))</f>
        <v/>
      </c>
      <c r="F259" s="47" t="str">
        <f>IF(OR(A259="",B259=""),"",MAX(0,B259-Setup!$B$10))</f>
        <v/>
      </c>
    </row>
    <row r="260" spans="1:6" ht="15" customHeight="1">
      <c r="A260" s="50"/>
      <c r="B260" s="51"/>
      <c r="C260" s="43"/>
      <c r="D260" s="52" t="str">
        <f t="shared" si="4"/>
        <v/>
      </c>
      <c r="E260" s="47" t="str">
        <f>IF(OR(A260="",B260=""),"",MAX(0,MIN(B260,Setup!$B$27+Setup!$B$10)-Setup!$B$10))</f>
        <v/>
      </c>
      <c r="F260" s="47" t="str">
        <f>IF(OR(A260="",B260=""),"",MAX(0,B260-Setup!$B$10))</f>
        <v/>
      </c>
    </row>
    <row r="261" spans="1:6" ht="15" customHeight="1">
      <c r="A261" s="50"/>
      <c r="B261" s="51"/>
      <c r="C261" s="43"/>
      <c r="D261" s="52" t="str">
        <f t="shared" si="4"/>
        <v/>
      </c>
      <c r="E261" s="47" t="str">
        <f>IF(OR(A261="",B261=""),"",MAX(0,MIN(B261,Setup!$B$27+Setup!$B$10)-Setup!$B$10))</f>
        <v/>
      </c>
      <c r="F261" s="47" t="str">
        <f>IF(OR(A261="",B261=""),"",MAX(0,B261-Setup!$B$10))</f>
        <v/>
      </c>
    </row>
    <row r="262" spans="1:6" ht="15" customHeight="1">
      <c r="A262" s="50"/>
      <c r="B262" s="51"/>
      <c r="C262" s="43"/>
      <c r="D262" s="52" t="str">
        <f t="shared" si="4"/>
        <v/>
      </c>
      <c r="E262" s="47" t="str">
        <f>IF(OR(A262="",B262=""),"",MAX(0,MIN(B262,Setup!$B$27+Setup!$B$10)-Setup!$B$10))</f>
        <v/>
      </c>
      <c r="F262" s="47" t="str">
        <f>IF(OR(A262="",B262=""),"",MAX(0,B262-Setup!$B$10))</f>
        <v/>
      </c>
    </row>
    <row r="263" spans="1:6" ht="15" customHeight="1">
      <c r="A263" s="50"/>
      <c r="B263" s="51"/>
      <c r="C263" s="43"/>
      <c r="D263" s="52" t="str">
        <f t="shared" si="4"/>
        <v/>
      </c>
      <c r="E263" s="47" t="str">
        <f>IF(OR(A263="",B263=""),"",MAX(0,MIN(B263,Setup!$B$27+Setup!$B$10)-Setup!$B$10))</f>
        <v/>
      </c>
      <c r="F263" s="47" t="str">
        <f>IF(OR(A263="",B263=""),"",MAX(0,B263-Setup!$B$10))</f>
        <v/>
      </c>
    </row>
    <row r="264" spans="1:6" ht="15" customHeight="1">
      <c r="A264" s="50"/>
      <c r="B264" s="51"/>
      <c r="C264" s="43"/>
      <c r="D264" s="52" t="str">
        <f t="shared" si="4"/>
        <v/>
      </c>
      <c r="E264" s="47" t="str">
        <f>IF(OR(A264="",B264=""),"",MAX(0,MIN(B264,Setup!$B$27+Setup!$B$10)-Setup!$B$10))</f>
        <v/>
      </c>
      <c r="F264" s="47" t="str">
        <f>IF(OR(A264="",B264=""),"",MAX(0,B264-Setup!$B$10))</f>
        <v/>
      </c>
    </row>
    <row r="265" spans="1:6" ht="15" customHeight="1">
      <c r="A265" s="50"/>
      <c r="B265" s="51"/>
      <c r="C265" s="43"/>
      <c r="D265" s="52" t="str">
        <f t="shared" si="4"/>
        <v/>
      </c>
      <c r="E265" s="47" t="str">
        <f>IF(OR(A265="",B265=""),"",MAX(0,MIN(B265,Setup!$B$27+Setup!$B$10)-Setup!$B$10))</f>
        <v/>
      </c>
      <c r="F265" s="47" t="str">
        <f>IF(OR(A265="",B265=""),"",MAX(0,B265-Setup!$B$10))</f>
        <v/>
      </c>
    </row>
    <row r="266" spans="1:6" ht="15" customHeight="1">
      <c r="A266" s="50"/>
      <c r="B266" s="51"/>
      <c r="C266" s="43"/>
      <c r="D266" s="52" t="str">
        <f t="shared" si="4"/>
        <v/>
      </c>
      <c r="E266" s="47" t="str">
        <f>IF(OR(A266="",B266=""),"",MAX(0,MIN(B266,Setup!$B$27+Setup!$B$10)-Setup!$B$10))</f>
        <v/>
      </c>
      <c r="F266" s="47" t="str">
        <f>IF(OR(A266="",B266=""),"",MAX(0,B266-Setup!$B$10))</f>
        <v/>
      </c>
    </row>
    <row r="267" spans="1:6" ht="15" customHeight="1">
      <c r="A267" s="50"/>
      <c r="B267" s="51"/>
      <c r="C267" s="43"/>
      <c r="D267" s="52" t="str">
        <f t="shared" si="4"/>
        <v/>
      </c>
      <c r="E267" s="47" t="str">
        <f>IF(OR(A267="",B267=""),"",MAX(0,MIN(B267,Setup!$B$27+Setup!$B$10)-Setup!$B$10))</f>
        <v/>
      </c>
      <c r="F267" s="47" t="str">
        <f>IF(OR(A267="",B267=""),"",MAX(0,B267-Setup!$B$10))</f>
        <v/>
      </c>
    </row>
    <row r="268" spans="1:6" ht="15" customHeight="1">
      <c r="A268" s="50"/>
      <c r="B268" s="51"/>
      <c r="C268" s="43"/>
      <c r="D268" s="52" t="str">
        <f t="shared" si="4"/>
        <v/>
      </c>
      <c r="E268" s="47" t="str">
        <f>IF(OR(A268="",B268=""),"",MAX(0,MIN(B268,Setup!$B$27+Setup!$B$10)-Setup!$B$10))</f>
        <v/>
      </c>
      <c r="F268" s="47" t="str">
        <f>IF(OR(A268="",B268=""),"",MAX(0,B268-Setup!$B$10))</f>
        <v/>
      </c>
    </row>
    <row r="269" spans="1:6" ht="15" customHeight="1">
      <c r="A269" s="50"/>
      <c r="B269" s="51"/>
      <c r="C269" s="43"/>
      <c r="D269" s="52" t="str">
        <f t="shared" si="4"/>
        <v/>
      </c>
      <c r="E269" s="47" t="str">
        <f>IF(OR(A269="",B269=""),"",MAX(0,MIN(B269,Setup!$B$27+Setup!$B$10)-Setup!$B$10))</f>
        <v/>
      </c>
      <c r="F269" s="47" t="str">
        <f>IF(OR(A269="",B269=""),"",MAX(0,B269-Setup!$B$10))</f>
        <v/>
      </c>
    </row>
    <row r="270" spans="1:6" ht="15" customHeight="1">
      <c r="A270" s="50"/>
      <c r="B270" s="51"/>
      <c r="C270" s="43"/>
      <c r="D270" s="52" t="str">
        <f t="shared" si="4"/>
        <v/>
      </c>
      <c r="E270" s="47" t="str">
        <f>IF(OR(A270="",B270=""),"",MAX(0,MIN(B270,Setup!$B$27+Setup!$B$10)-Setup!$B$10))</f>
        <v/>
      </c>
      <c r="F270" s="47" t="str">
        <f>IF(OR(A270="",B270=""),"",MAX(0,B270-Setup!$B$10))</f>
        <v/>
      </c>
    </row>
    <row r="271" spans="1:6" ht="15" customHeight="1">
      <c r="A271" s="50"/>
      <c r="B271" s="51"/>
      <c r="C271" s="43"/>
      <c r="D271" s="52" t="str">
        <f t="shared" si="4"/>
        <v/>
      </c>
      <c r="E271" s="47" t="str">
        <f>IF(OR(A271="",B271=""),"",MAX(0,MIN(B271,Setup!$B$27+Setup!$B$10)-Setup!$B$10))</f>
        <v/>
      </c>
      <c r="F271" s="47" t="str">
        <f>IF(OR(A271="",B271=""),"",MAX(0,B271-Setup!$B$10))</f>
        <v/>
      </c>
    </row>
    <row r="272" spans="1:6" ht="15" customHeight="1">
      <c r="A272" s="50"/>
      <c r="B272" s="51"/>
      <c r="C272" s="43"/>
      <c r="D272" s="52" t="str">
        <f t="shared" si="4"/>
        <v/>
      </c>
      <c r="E272" s="47" t="str">
        <f>IF(OR(A272="",B272=""),"",MAX(0,MIN(B272,Setup!$B$27+Setup!$B$10)-Setup!$B$10))</f>
        <v/>
      </c>
      <c r="F272" s="47" t="str">
        <f>IF(OR(A272="",B272=""),"",MAX(0,B272-Setup!$B$10))</f>
        <v/>
      </c>
    </row>
    <row r="273" spans="1:6" ht="15" customHeight="1">
      <c r="A273" s="50"/>
      <c r="B273" s="51"/>
      <c r="C273" s="43"/>
      <c r="D273" s="52" t="str">
        <f t="shared" si="4"/>
        <v/>
      </c>
      <c r="E273" s="47" t="str">
        <f>IF(OR(A273="",B273=""),"",MAX(0,MIN(B273,Setup!$B$27+Setup!$B$10)-Setup!$B$10))</f>
        <v/>
      </c>
      <c r="F273" s="47" t="str">
        <f>IF(OR(A273="",B273=""),"",MAX(0,B273-Setup!$B$10))</f>
        <v/>
      </c>
    </row>
    <row r="274" spans="1:6" ht="15" customHeight="1">
      <c r="A274" s="50"/>
      <c r="B274" s="51"/>
      <c r="C274" s="43"/>
      <c r="D274" s="52" t="str">
        <f t="shared" si="4"/>
        <v/>
      </c>
      <c r="E274" s="47" t="str">
        <f>IF(OR(A274="",B274=""),"",MAX(0,MIN(B274,Setup!$B$27+Setup!$B$10)-Setup!$B$10))</f>
        <v/>
      </c>
      <c r="F274" s="47" t="str">
        <f>IF(OR(A274="",B274=""),"",MAX(0,B274-Setup!$B$10))</f>
        <v/>
      </c>
    </row>
    <row r="275" spans="1:6" ht="15" customHeight="1">
      <c r="A275" s="50"/>
      <c r="B275" s="51"/>
      <c r="C275" s="43"/>
      <c r="D275" s="52" t="str">
        <f t="shared" si="4"/>
        <v/>
      </c>
      <c r="E275" s="47" t="str">
        <f>IF(OR(A275="",B275=""),"",MAX(0,MIN(B275,Setup!$B$27+Setup!$B$10)-Setup!$B$10))</f>
        <v/>
      </c>
      <c r="F275" s="47" t="str">
        <f>IF(OR(A275="",B275=""),"",MAX(0,B275-Setup!$B$10))</f>
        <v/>
      </c>
    </row>
    <row r="276" spans="1:6" ht="15" customHeight="1">
      <c r="A276" s="50"/>
      <c r="B276" s="51"/>
      <c r="C276" s="43"/>
      <c r="D276" s="52" t="str">
        <f t="shared" si="4"/>
        <v/>
      </c>
      <c r="E276" s="47" t="str">
        <f>IF(OR(A276="",B276=""),"",MAX(0,MIN(B276,Setup!$B$27+Setup!$B$10)-Setup!$B$10))</f>
        <v/>
      </c>
      <c r="F276" s="47" t="str">
        <f>IF(OR(A276="",B276=""),"",MAX(0,B276-Setup!$B$10))</f>
        <v/>
      </c>
    </row>
    <row r="277" spans="1:6" ht="15" customHeight="1">
      <c r="A277" s="50"/>
      <c r="B277" s="51"/>
      <c r="C277" s="43"/>
      <c r="D277" s="52" t="str">
        <f t="shared" si="4"/>
        <v/>
      </c>
      <c r="E277" s="47" t="str">
        <f>IF(OR(A277="",B277=""),"",MAX(0,MIN(B277,Setup!$B$27+Setup!$B$10)-Setup!$B$10))</f>
        <v/>
      </c>
      <c r="F277" s="47" t="str">
        <f>IF(OR(A277="",B277=""),"",MAX(0,B277-Setup!$B$10))</f>
        <v/>
      </c>
    </row>
    <row r="278" spans="1:6" ht="15" customHeight="1">
      <c r="A278" s="50"/>
      <c r="B278" s="51"/>
      <c r="C278" s="43"/>
      <c r="D278" s="52" t="str">
        <f t="shared" si="4"/>
        <v/>
      </c>
      <c r="E278" s="47" t="str">
        <f>IF(OR(A278="",B278=""),"",MAX(0,MIN(B278,Setup!$B$27+Setup!$B$10)-Setup!$B$10))</f>
        <v/>
      </c>
      <c r="F278" s="47" t="str">
        <f>IF(OR(A278="",B278=""),"",MAX(0,B278-Setup!$B$10))</f>
        <v/>
      </c>
    </row>
    <row r="279" spans="1:6" ht="15" customHeight="1">
      <c r="A279" s="50"/>
      <c r="B279" s="51"/>
      <c r="C279" s="43"/>
      <c r="D279" s="52" t="str">
        <f t="shared" si="4"/>
        <v/>
      </c>
      <c r="E279" s="47" t="str">
        <f>IF(OR(A279="",B279=""),"",MAX(0,MIN(B279,Setup!$B$27+Setup!$B$10)-Setup!$B$10))</f>
        <v/>
      </c>
      <c r="F279" s="47" t="str">
        <f>IF(OR(A279="",B279=""),"",MAX(0,B279-Setup!$B$10))</f>
        <v/>
      </c>
    </row>
    <row r="280" spans="1:6" ht="15" customHeight="1">
      <c r="A280" s="50"/>
      <c r="B280" s="51"/>
      <c r="C280" s="43"/>
      <c r="D280" s="52" t="str">
        <f t="shared" si="4"/>
        <v/>
      </c>
      <c r="E280" s="47" t="str">
        <f>IF(OR(A280="",B280=""),"",MAX(0,MIN(B280,Setup!$B$27+Setup!$B$10)-Setup!$B$10))</f>
        <v/>
      </c>
      <c r="F280" s="47" t="str">
        <f>IF(OR(A280="",B280=""),"",MAX(0,B280-Setup!$B$10))</f>
        <v/>
      </c>
    </row>
    <row r="281" spans="1:6" ht="15" customHeight="1">
      <c r="A281" s="50"/>
      <c r="B281" s="51"/>
      <c r="C281" s="43"/>
      <c r="D281" s="52" t="str">
        <f t="shared" si="4"/>
        <v/>
      </c>
      <c r="E281" s="47" t="str">
        <f>IF(OR(A281="",B281=""),"",MAX(0,MIN(B281,Setup!$B$27+Setup!$B$10)-Setup!$B$10))</f>
        <v/>
      </c>
      <c r="F281" s="47" t="str">
        <f>IF(OR(A281="",B281=""),"",MAX(0,B281-Setup!$B$10))</f>
        <v/>
      </c>
    </row>
    <row r="282" spans="1:6" ht="15" customHeight="1">
      <c r="A282" s="50"/>
      <c r="B282" s="51"/>
      <c r="C282" s="43"/>
      <c r="D282" s="52" t="str">
        <f t="shared" si="4"/>
        <v/>
      </c>
      <c r="E282" s="47" t="str">
        <f>IF(OR(A282="",B282=""),"",MAX(0,MIN(B282,Setup!$B$27+Setup!$B$10)-Setup!$B$10))</f>
        <v/>
      </c>
      <c r="F282" s="47" t="str">
        <f>IF(OR(A282="",B282=""),"",MAX(0,B282-Setup!$B$10))</f>
        <v/>
      </c>
    </row>
    <row r="283" spans="1:6" ht="15" customHeight="1">
      <c r="A283" s="50"/>
      <c r="B283" s="51"/>
      <c r="C283" s="43"/>
      <c r="D283" s="52" t="str">
        <f t="shared" si="4"/>
        <v/>
      </c>
      <c r="E283" s="47" t="str">
        <f>IF(OR(A283="",B283=""),"",MAX(0,MIN(B283,Setup!$B$27+Setup!$B$10)-Setup!$B$10))</f>
        <v/>
      </c>
      <c r="F283" s="47" t="str">
        <f>IF(OR(A283="",B283=""),"",MAX(0,B283-Setup!$B$10))</f>
        <v/>
      </c>
    </row>
    <row r="284" spans="1:6" ht="15" customHeight="1">
      <c r="A284" s="50"/>
      <c r="B284" s="51"/>
      <c r="C284" s="43"/>
      <c r="D284" s="52" t="str">
        <f t="shared" si="4"/>
        <v/>
      </c>
      <c r="E284" s="47" t="str">
        <f>IF(OR(A284="",B284=""),"",MAX(0,MIN(B284,Setup!$B$27+Setup!$B$10)-Setup!$B$10))</f>
        <v/>
      </c>
      <c r="F284" s="47" t="str">
        <f>IF(OR(A284="",B284=""),"",MAX(0,B284-Setup!$B$10))</f>
        <v/>
      </c>
    </row>
    <row r="285" spans="1:6" ht="15" customHeight="1">
      <c r="A285" s="50"/>
      <c r="B285" s="51"/>
      <c r="C285" s="43"/>
      <c r="D285" s="52" t="str">
        <f t="shared" si="4"/>
        <v/>
      </c>
      <c r="E285" s="47" t="str">
        <f>IF(OR(A285="",B285=""),"",MAX(0,MIN(B285,Setup!$B$27+Setup!$B$10)-Setup!$B$10))</f>
        <v/>
      </c>
      <c r="F285" s="47" t="str">
        <f>IF(OR(A285="",B285=""),"",MAX(0,B285-Setup!$B$10))</f>
        <v/>
      </c>
    </row>
    <row r="286" spans="1:6" ht="15" customHeight="1">
      <c r="A286" s="50"/>
      <c r="B286" s="51"/>
      <c r="C286" s="43"/>
      <c r="D286" s="52" t="str">
        <f t="shared" si="4"/>
        <v/>
      </c>
      <c r="E286" s="47" t="str">
        <f>IF(OR(A286="",B286=""),"",MAX(0,MIN(B286,Setup!$B$27+Setup!$B$10)-Setup!$B$10))</f>
        <v/>
      </c>
      <c r="F286" s="47" t="str">
        <f>IF(OR(A286="",B286=""),"",MAX(0,B286-Setup!$B$10))</f>
        <v/>
      </c>
    </row>
    <row r="287" spans="1:6" ht="15" customHeight="1">
      <c r="A287" s="50"/>
      <c r="B287" s="51"/>
      <c r="C287" s="43"/>
      <c r="D287" s="52" t="str">
        <f t="shared" si="4"/>
        <v/>
      </c>
      <c r="E287" s="47" t="str">
        <f>IF(OR(A287="",B287=""),"",MAX(0,MIN(B287,Setup!$B$27+Setup!$B$10)-Setup!$B$10))</f>
        <v/>
      </c>
      <c r="F287" s="47" t="str">
        <f>IF(OR(A287="",B287=""),"",MAX(0,B287-Setup!$B$10))</f>
        <v/>
      </c>
    </row>
    <row r="288" spans="1:6" ht="15" customHeight="1">
      <c r="A288" s="50"/>
      <c r="B288" s="51"/>
      <c r="C288" s="43"/>
      <c r="D288" s="52" t="str">
        <f t="shared" si="4"/>
        <v/>
      </c>
      <c r="E288" s="47" t="str">
        <f>IF(OR(A288="",B288=""),"",MAX(0,MIN(B288,Setup!$B$27+Setup!$B$10)-Setup!$B$10))</f>
        <v/>
      </c>
      <c r="F288" s="47" t="str">
        <f>IF(OR(A288="",B288=""),"",MAX(0,B288-Setup!$B$10))</f>
        <v/>
      </c>
    </row>
    <row r="289" spans="1:6" ht="15" customHeight="1">
      <c r="A289" s="50"/>
      <c r="B289" s="51"/>
      <c r="C289" s="43"/>
      <c r="D289" s="52" t="str">
        <f t="shared" si="4"/>
        <v/>
      </c>
      <c r="E289" s="47" t="str">
        <f>IF(OR(A289="",B289=""),"",MAX(0,MIN(B289,Setup!$B$27+Setup!$B$10)-Setup!$B$10))</f>
        <v/>
      </c>
      <c r="F289" s="47" t="str">
        <f>IF(OR(A289="",B289=""),"",MAX(0,B289-Setup!$B$10))</f>
        <v/>
      </c>
    </row>
    <row r="290" spans="1:6" ht="15" customHeight="1">
      <c r="A290" s="50"/>
      <c r="B290" s="51"/>
      <c r="C290" s="43"/>
      <c r="D290" s="52" t="str">
        <f t="shared" si="4"/>
        <v/>
      </c>
      <c r="E290" s="47" t="str">
        <f>IF(OR(A290="",B290=""),"",MAX(0,MIN(B290,Setup!$B$27+Setup!$B$10)-Setup!$B$10))</f>
        <v/>
      </c>
      <c r="F290" s="47" t="str">
        <f>IF(OR(A290="",B290=""),"",MAX(0,B290-Setup!$B$10))</f>
        <v/>
      </c>
    </row>
    <row r="291" spans="1:6" ht="15" customHeight="1">
      <c r="A291" s="50"/>
      <c r="B291" s="51"/>
      <c r="C291" s="43"/>
      <c r="D291" s="52" t="str">
        <f t="shared" si="4"/>
        <v/>
      </c>
      <c r="E291" s="47" t="str">
        <f>IF(OR(A291="",B291=""),"",MAX(0,MIN(B291,Setup!$B$27+Setup!$B$10)-Setup!$B$10))</f>
        <v/>
      </c>
      <c r="F291" s="47" t="str">
        <f>IF(OR(A291="",B291=""),"",MAX(0,B291-Setup!$B$10))</f>
        <v/>
      </c>
    </row>
    <row r="292" spans="1:6" ht="15" customHeight="1">
      <c r="A292" s="50"/>
      <c r="B292" s="51"/>
      <c r="C292" s="43"/>
      <c r="D292" s="52" t="str">
        <f t="shared" si="4"/>
        <v/>
      </c>
      <c r="E292" s="47" t="str">
        <f>IF(OR(A292="",B292=""),"",MAX(0,MIN(B292,Setup!$B$27+Setup!$B$10)-Setup!$B$10))</f>
        <v/>
      </c>
      <c r="F292" s="47" t="str">
        <f>IF(OR(A292="",B292=""),"",MAX(0,B292-Setup!$B$10))</f>
        <v/>
      </c>
    </row>
    <row r="293" spans="1:6" ht="15" customHeight="1">
      <c r="A293" s="50"/>
      <c r="B293" s="51"/>
      <c r="C293" s="43"/>
      <c r="D293" s="52" t="str">
        <f t="shared" si="4"/>
        <v/>
      </c>
      <c r="E293" s="47" t="str">
        <f>IF(OR(A293="",B293=""),"",MAX(0,MIN(B293,Setup!$B$27+Setup!$B$10)-Setup!$B$10))</f>
        <v/>
      </c>
      <c r="F293" s="47" t="str">
        <f>IF(OR(A293="",B293=""),"",MAX(0,B293-Setup!$B$10))</f>
        <v/>
      </c>
    </row>
    <row r="294" spans="1:6" ht="15" customHeight="1">
      <c r="A294" s="50"/>
      <c r="B294" s="51"/>
      <c r="C294" s="43"/>
      <c r="D294" s="52" t="str">
        <f t="shared" si="4"/>
        <v/>
      </c>
      <c r="E294" s="47" t="str">
        <f>IF(OR(A294="",B294=""),"",MAX(0,MIN(B294,Setup!$B$27+Setup!$B$10)-Setup!$B$10))</f>
        <v/>
      </c>
      <c r="F294" s="47" t="str">
        <f>IF(OR(A294="",B294=""),"",MAX(0,B294-Setup!$B$10))</f>
        <v/>
      </c>
    </row>
    <row r="295" spans="1:6" ht="15" customHeight="1">
      <c r="A295" s="50"/>
      <c r="B295" s="51"/>
      <c r="C295" s="43"/>
      <c r="D295" s="52" t="str">
        <f t="shared" si="4"/>
        <v/>
      </c>
      <c r="E295" s="47" t="str">
        <f>IF(OR(A295="",B295=""),"",MAX(0,MIN(B295,Setup!$B$27+Setup!$B$10)-Setup!$B$10))</f>
        <v/>
      </c>
      <c r="F295" s="47" t="str">
        <f>IF(OR(A295="",B295=""),"",MAX(0,B295-Setup!$B$10))</f>
        <v/>
      </c>
    </row>
    <row r="296" spans="1:6" ht="15" customHeight="1">
      <c r="A296" s="50"/>
      <c r="B296" s="51"/>
      <c r="C296" s="43"/>
      <c r="D296" s="52" t="str">
        <f t="shared" si="4"/>
        <v/>
      </c>
      <c r="E296" s="47" t="str">
        <f>IF(OR(A296="",B296=""),"",MAX(0,MIN(B296,Setup!$B$27+Setup!$B$10)-Setup!$B$10))</f>
        <v/>
      </c>
      <c r="F296" s="47" t="str">
        <f>IF(OR(A296="",B296=""),"",MAX(0,B296-Setup!$B$10))</f>
        <v/>
      </c>
    </row>
    <row r="297" spans="1:6" ht="15" customHeight="1">
      <c r="A297" s="50"/>
      <c r="B297" s="51"/>
      <c r="C297" s="43"/>
      <c r="D297" s="52" t="str">
        <f t="shared" si="4"/>
        <v/>
      </c>
      <c r="E297" s="47" t="str">
        <f>IF(OR(A297="",B297=""),"",MAX(0,MIN(B297,Setup!$B$27+Setup!$B$10)-Setup!$B$10))</f>
        <v/>
      </c>
      <c r="F297" s="47" t="str">
        <f>IF(OR(A297="",B297=""),"",MAX(0,B297-Setup!$B$10))</f>
        <v/>
      </c>
    </row>
    <row r="298" spans="1:6" ht="15" customHeight="1">
      <c r="A298" s="50"/>
      <c r="B298" s="51"/>
      <c r="C298" s="43"/>
      <c r="D298" s="52" t="str">
        <f t="shared" si="4"/>
        <v/>
      </c>
      <c r="E298" s="47" t="str">
        <f>IF(OR(A298="",B298=""),"",MAX(0,MIN(B298,Setup!$B$27+Setup!$B$10)-Setup!$B$10))</f>
        <v/>
      </c>
      <c r="F298" s="47" t="str">
        <f>IF(OR(A298="",B298=""),"",MAX(0,B298-Setup!$B$10))</f>
        <v/>
      </c>
    </row>
    <row r="299" spans="1:6" ht="15" customHeight="1">
      <c r="A299" s="50"/>
      <c r="B299" s="51"/>
      <c r="C299" s="43"/>
      <c r="D299" s="52" t="str">
        <f t="shared" si="4"/>
        <v/>
      </c>
      <c r="E299" s="47" t="str">
        <f>IF(OR(A299="",B299=""),"",MAX(0,MIN(B299,Setup!$B$27+Setup!$B$10)-Setup!$B$10))</f>
        <v/>
      </c>
      <c r="F299" s="47" t="str">
        <f>IF(OR(A299="",B299=""),"",MAX(0,B299-Setup!$B$10))</f>
        <v/>
      </c>
    </row>
    <row r="300" spans="1:6" ht="15" customHeight="1">
      <c r="A300" s="50"/>
      <c r="B300" s="51"/>
      <c r="C300" s="43"/>
      <c r="D300" s="52" t="str">
        <f t="shared" si="4"/>
        <v/>
      </c>
      <c r="E300" s="47" t="str">
        <f>IF(OR(A300="",B300=""),"",MAX(0,MIN(B300,Setup!$B$27+Setup!$B$10)-Setup!$B$10))</f>
        <v/>
      </c>
      <c r="F300" s="47" t="str">
        <f>IF(OR(A300="",B300=""),"",MAX(0,B300-Setup!$B$10))</f>
        <v/>
      </c>
    </row>
    <row r="301" spans="1:6" ht="15" customHeight="1">
      <c r="A301" s="50"/>
      <c r="B301" s="51"/>
      <c r="C301" s="43"/>
      <c r="D301" s="52" t="str">
        <f t="shared" si="4"/>
        <v/>
      </c>
      <c r="E301" s="47" t="str">
        <f>IF(OR(A301="",B301=""),"",MAX(0,MIN(B301,Setup!$B$27+Setup!$B$10)-Setup!$B$10))</f>
        <v/>
      </c>
      <c r="F301" s="47" t="str">
        <f>IF(OR(A301="",B301=""),"",MAX(0,B301-Setup!$B$10))</f>
        <v/>
      </c>
    </row>
    <row r="302" spans="1:6" ht="15" customHeight="1">
      <c r="A302" s="50"/>
      <c r="B302" s="51"/>
      <c r="C302" s="43"/>
      <c r="D302" s="52" t="str">
        <f t="shared" si="4"/>
        <v/>
      </c>
      <c r="E302" s="47" t="str">
        <f>IF(OR(A302="",B302=""),"",MAX(0,MIN(B302,Setup!$B$27+Setup!$B$10)-Setup!$B$10))</f>
        <v/>
      </c>
      <c r="F302" s="47" t="str">
        <f>IF(OR(A302="",B302=""),"",MAX(0,B302-Setup!$B$10))</f>
        <v/>
      </c>
    </row>
    <row r="303" spans="1:6" ht="15" customHeight="1">
      <c r="A303" s="50"/>
      <c r="B303" s="51"/>
      <c r="C303" s="43"/>
      <c r="D303" s="52" t="str">
        <f t="shared" si="4"/>
        <v/>
      </c>
      <c r="E303" s="47" t="str">
        <f>IF(OR(A303="",B303=""),"",MAX(0,MIN(B303,Setup!$B$27+Setup!$B$10)-Setup!$B$10))</f>
        <v/>
      </c>
      <c r="F303" s="47" t="str">
        <f>IF(OR(A303="",B303=""),"",MAX(0,B303-Setup!$B$10))</f>
        <v/>
      </c>
    </row>
    <row r="304" spans="1:6" ht="15" customHeight="1">
      <c r="A304" s="50"/>
      <c r="B304" s="51"/>
      <c r="C304" s="43"/>
      <c r="D304" s="52" t="str">
        <f t="shared" si="4"/>
        <v/>
      </c>
      <c r="E304" s="47" t="str">
        <f>IF(OR(A304="",B304=""),"",MAX(0,MIN(B304,Setup!$B$27+Setup!$B$10)-Setup!$B$10))</f>
        <v/>
      </c>
      <c r="F304" s="47" t="str">
        <f>IF(OR(A304="",B304=""),"",MAX(0,B304-Setup!$B$10))</f>
        <v/>
      </c>
    </row>
    <row r="305" spans="1:6" ht="15" customHeight="1">
      <c r="A305" s="50"/>
      <c r="B305" s="51"/>
      <c r="C305" s="43"/>
      <c r="D305" s="52" t="str">
        <f t="shared" si="4"/>
        <v/>
      </c>
      <c r="E305" s="47" t="str">
        <f>IF(OR(A305="",B305=""),"",MAX(0,MIN(B305,Setup!$B$27+Setup!$B$10)-Setup!$B$10))</f>
        <v/>
      </c>
      <c r="F305" s="47" t="str">
        <f>IF(OR(A305="",B305=""),"",MAX(0,B305-Setup!$B$10))</f>
        <v/>
      </c>
    </row>
    <row r="306" spans="1:6" ht="15" customHeight="1">
      <c r="A306" s="50"/>
      <c r="B306" s="51"/>
      <c r="C306" s="43"/>
      <c r="D306" s="52" t="str">
        <f t="shared" si="4"/>
        <v/>
      </c>
      <c r="E306" s="47" t="str">
        <f>IF(OR(A306="",B306=""),"",MAX(0,MIN(B306,Setup!$B$27+Setup!$B$10)-Setup!$B$10))</f>
        <v/>
      </c>
      <c r="F306" s="47" t="str">
        <f>IF(OR(A306="",B306=""),"",MAX(0,B306-Setup!$B$10))</f>
        <v/>
      </c>
    </row>
    <row r="307" spans="1:6" ht="15" customHeight="1">
      <c r="A307" s="50"/>
      <c r="B307" s="51"/>
      <c r="C307" s="43"/>
      <c r="D307" s="52" t="str">
        <f t="shared" si="4"/>
        <v/>
      </c>
      <c r="E307" s="47" t="str">
        <f>IF(OR(A307="",B307=""),"",MAX(0,MIN(B307,Setup!$B$27+Setup!$B$10)-Setup!$B$10))</f>
        <v/>
      </c>
      <c r="F307" s="47" t="str">
        <f>IF(OR(A307="",B307=""),"",MAX(0,B307-Setup!$B$10))</f>
        <v/>
      </c>
    </row>
    <row r="308" spans="1:6" ht="15" customHeight="1">
      <c r="A308" s="50"/>
      <c r="B308" s="51"/>
      <c r="C308" s="43"/>
      <c r="D308" s="52" t="str">
        <f t="shared" si="4"/>
        <v/>
      </c>
      <c r="E308" s="47" t="str">
        <f>IF(OR(A308="",B308=""),"",MAX(0,MIN(B308,Setup!$B$27+Setup!$B$10)-Setup!$B$10))</f>
        <v/>
      </c>
      <c r="F308" s="47" t="str">
        <f>IF(OR(A308="",B308=""),"",MAX(0,B308-Setup!$B$10))</f>
        <v/>
      </c>
    </row>
    <row r="309" spans="1:6" ht="15" customHeight="1">
      <c r="A309" s="50"/>
      <c r="B309" s="51"/>
      <c r="C309" s="43"/>
      <c r="D309" s="52" t="str">
        <f t="shared" si="4"/>
        <v/>
      </c>
      <c r="E309" s="47" t="str">
        <f>IF(OR(A309="",B309=""),"",MAX(0,MIN(B309,Setup!$B$27+Setup!$B$10)-Setup!$B$10))</f>
        <v/>
      </c>
      <c r="F309" s="47" t="str">
        <f>IF(OR(A309="",B309=""),"",MAX(0,B309-Setup!$B$10))</f>
        <v/>
      </c>
    </row>
    <row r="310" spans="1:6" ht="15" customHeight="1">
      <c r="A310" s="50"/>
      <c r="B310" s="51"/>
      <c r="C310" s="43"/>
      <c r="D310" s="52" t="str">
        <f t="shared" si="4"/>
        <v/>
      </c>
      <c r="E310" s="47" t="str">
        <f>IF(OR(A310="",B310=""),"",MAX(0,MIN(B310,Setup!$B$27+Setup!$B$10)-Setup!$B$10))</f>
        <v/>
      </c>
      <c r="F310" s="47" t="str">
        <f>IF(OR(A310="",B310=""),"",MAX(0,B310-Setup!$B$10))</f>
        <v/>
      </c>
    </row>
    <row r="311" spans="1:6" ht="15" customHeight="1">
      <c r="A311" s="50"/>
      <c r="B311" s="51"/>
      <c r="C311" s="43"/>
      <c r="D311" s="52" t="str">
        <f t="shared" si="4"/>
        <v/>
      </c>
      <c r="E311" s="47" t="str">
        <f>IF(OR(A311="",B311=""),"",MAX(0,MIN(B311,Setup!$B$27+Setup!$B$10)-Setup!$B$10))</f>
        <v/>
      </c>
      <c r="F311" s="47" t="str">
        <f>IF(OR(A311="",B311=""),"",MAX(0,B311-Setup!$B$10))</f>
        <v/>
      </c>
    </row>
    <row r="312" spans="1:6" ht="15" customHeight="1">
      <c r="A312" s="50"/>
      <c r="B312" s="51"/>
      <c r="C312" s="43"/>
      <c r="D312" s="52" t="str">
        <f t="shared" si="4"/>
        <v/>
      </c>
      <c r="E312" s="47" t="str">
        <f>IF(OR(A312="",B312=""),"",MAX(0,MIN(B312,Setup!$B$27+Setup!$B$10)-Setup!$B$10))</f>
        <v/>
      </c>
      <c r="F312" s="47" t="str">
        <f>IF(OR(A312="",B312=""),"",MAX(0,B312-Setup!$B$10))</f>
        <v/>
      </c>
    </row>
    <row r="313" spans="1:6" ht="15" customHeight="1">
      <c r="A313" s="50"/>
      <c r="B313" s="51"/>
      <c r="C313" s="43"/>
      <c r="D313" s="52" t="str">
        <f t="shared" si="4"/>
        <v/>
      </c>
      <c r="E313" s="47" t="str">
        <f>IF(OR(A313="",B313=""),"",MAX(0,MIN(B313,Setup!$B$27+Setup!$B$10)-Setup!$B$10))</f>
        <v/>
      </c>
      <c r="F313" s="47" t="str">
        <f>IF(OR(A313="",B313=""),"",MAX(0,B313-Setup!$B$10))</f>
        <v/>
      </c>
    </row>
    <row r="314" spans="1:6" ht="15" customHeight="1">
      <c r="A314" s="50"/>
      <c r="B314" s="51"/>
      <c r="C314" s="43"/>
      <c r="D314" s="52" t="str">
        <f t="shared" si="4"/>
        <v/>
      </c>
      <c r="E314" s="47" t="str">
        <f>IF(OR(A314="",B314=""),"",MAX(0,MIN(B314,Setup!$B$27+Setup!$B$10)-Setup!$B$10))</f>
        <v/>
      </c>
      <c r="F314" s="47" t="str">
        <f>IF(OR(A314="",B314=""),"",MAX(0,B314-Setup!$B$10))</f>
        <v/>
      </c>
    </row>
    <row r="315" spans="1:6" ht="15" customHeight="1">
      <c r="A315" s="50"/>
      <c r="B315" s="51"/>
      <c r="C315" s="43"/>
      <c r="D315" s="52" t="str">
        <f t="shared" si="4"/>
        <v/>
      </c>
      <c r="E315" s="47" t="str">
        <f>IF(OR(A315="",B315=""),"",MAX(0,MIN(B315,Setup!$B$27+Setup!$B$10)-Setup!$B$10))</f>
        <v/>
      </c>
      <c r="F315" s="47" t="str">
        <f>IF(OR(A315="",B315=""),"",MAX(0,B315-Setup!$B$10))</f>
        <v/>
      </c>
    </row>
    <row r="316" spans="1:6" ht="15" customHeight="1">
      <c r="A316" s="50"/>
      <c r="B316" s="51"/>
      <c r="C316" s="43"/>
      <c r="D316" s="52" t="str">
        <f t="shared" si="4"/>
        <v/>
      </c>
      <c r="E316" s="47" t="str">
        <f>IF(OR(A316="",B316=""),"",MAX(0,MIN(B316,Setup!$B$27+Setup!$B$10)-Setup!$B$10))</f>
        <v/>
      </c>
      <c r="F316" s="47" t="str">
        <f>IF(OR(A316="",B316=""),"",MAX(0,B316-Setup!$B$10))</f>
        <v/>
      </c>
    </row>
    <row r="317" spans="1:6" ht="15" customHeight="1">
      <c r="A317" s="50"/>
      <c r="B317" s="51"/>
      <c r="C317" s="43"/>
      <c r="D317" s="52" t="str">
        <f t="shared" si="4"/>
        <v/>
      </c>
      <c r="E317" s="47" t="str">
        <f>IF(OR(A317="",B317=""),"",MAX(0,MIN(B317,Setup!$B$27+Setup!$B$10)-Setup!$B$10))</f>
        <v/>
      </c>
      <c r="F317" s="47" t="str">
        <f>IF(OR(A317="",B317=""),"",MAX(0,B317-Setup!$B$10))</f>
        <v/>
      </c>
    </row>
    <row r="318" spans="1:6" ht="15" customHeight="1">
      <c r="A318" s="50"/>
      <c r="B318" s="51"/>
      <c r="C318" s="43"/>
      <c r="D318" s="52" t="str">
        <f t="shared" si="4"/>
        <v/>
      </c>
      <c r="E318" s="47" t="str">
        <f>IF(OR(A318="",B318=""),"",MAX(0,MIN(B318,Setup!$B$27+Setup!$B$10)-Setup!$B$10))</f>
        <v/>
      </c>
      <c r="F318" s="47" t="str">
        <f>IF(OR(A318="",B318=""),"",MAX(0,B318-Setup!$B$10))</f>
        <v/>
      </c>
    </row>
    <row r="319" spans="1:6" ht="15" customHeight="1">
      <c r="A319" s="50"/>
      <c r="B319" s="51"/>
      <c r="C319" s="43"/>
      <c r="D319" s="52" t="str">
        <f t="shared" si="4"/>
        <v/>
      </c>
      <c r="E319" s="47" t="str">
        <f>IF(OR(A319="",B319=""),"",MAX(0,MIN(B319,Setup!$B$27+Setup!$B$10)-Setup!$B$10))</f>
        <v/>
      </c>
      <c r="F319" s="47" t="str">
        <f>IF(OR(A319="",B319=""),"",MAX(0,B319-Setup!$B$10))</f>
        <v/>
      </c>
    </row>
    <row r="320" spans="1:6" ht="15" customHeight="1">
      <c r="A320" s="50"/>
      <c r="B320" s="51"/>
      <c r="C320" s="43"/>
      <c r="D320" s="52" t="str">
        <f t="shared" si="4"/>
        <v/>
      </c>
      <c r="E320" s="47" t="str">
        <f>IF(OR(A320="",B320=""),"",MAX(0,MIN(B320,Setup!$B$27+Setup!$B$10)-Setup!$B$10))</f>
        <v/>
      </c>
      <c r="F320" s="47" t="str">
        <f>IF(OR(A320="",B320=""),"",MAX(0,B320-Setup!$B$10))</f>
        <v/>
      </c>
    </row>
    <row r="321" spans="1:6" ht="15" customHeight="1">
      <c r="A321" s="50"/>
      <c r="B321" s="51"/>
      <c r="C321" s="43"/>
      <c r="D321" s="52" t="str">
        <f t="shared" si="4"/>
        <v/>
      </c>
      <c r="E321" s="47" t="str">
        <f>IF(OR(A321="",B321=""),"",MAX(0,MIN(B321,Setup!$B$27+Setup!$B$10)-Setup!$B$10))</f>
        <v/>
      </c>
      <c r="F321" s="47" t="str">
        <f>IF(OR(A321="",B321=""),"",MAX(0,B321-Setup!$B$10))</f>
        <v/>
      </c>
    </row>
    <row r="322" spans="1:6" ht="15" customHeight="1">
      <c r="A322" s="50"/>
      <c r="B322" s="51"/>
      <c r="C322" s="43"/>
      <c r="D322" s="52" t="str">
        <f t="shared" si="4"/>
        <v/>
      </c>
      <c r="E322" s="47" t="str">
        <f>IF(OR(A322="",B322=""),"",MAX(0,MIN(B322,Setup!$B$27+Setup!$B$10)-Setup!$B$10))</f>
        <v/>
      </c>
      <c r="F322" s="47" t="str">
        <f>IF(OR(A322="",B322=""),"",MAX(0,B322-Setup!$B$10))</f>
        <v/>
      </c>
    </row>
    <row r="323" spans="1:6" ht="15" customHeight="1">
      <c r="A323" s="50"/>
      <c r="B323" s="51"/>
      <c r="C323" s="43"/>
      <c r="D323" s="52" t="str">
        <f t="shared" ref="D323:D386" si="5">IF(A323="","",YEAR(A323))</f>
        <v/>
      </c>
      <c r="E323" s="47" t="str">
        <f>IF(OR(A323="",B323=""),"",MAX(0,MIN(B323,Setup!$B$27+Setup!$B$10)-Setup!$B$10))</f>
        <v/>
      </c>
      <c r="F323" s="47" t="str">
        <f>IF(OR(A323="",B323=""),"",MAX(0,B323-Setup!$B$10))</f>
        <v/>
      </c>
    </row>
    <row r="324" spans="1:6" ht="15" customHeight="1">
      <c r="A324" s="50"/>
      <c r="B324" s="51"/>
      <c r="C324" s="43"/>
      <c r="D324" s="52" t="str">
        <f t="shared" si="5"/>
        <v/>
      </c>
      <c r="E324" s="47" t="str">
        <f>IF(OR(A324="",B324=""),"",MAX(0,MIN(B324,Setup!$B$27+Setup!$B$10)-Setup!$B$10))</f>
        <v/>
      </c>
      <c r="F324" s="47" t="str">
        <f>IF(OR(A324="",B324=""),"",MAX(0,B324-Setup!$B$10))</f>
        <v/>
      </c>
    </row>
    <row r="325" spans="1:6" ht="15" customHeight="1">
      <c r="A325" s="50"/>
      <c r="B325" s="51"/>
      <c r="C325" s="43"/>
      <c r="D325" s="52" t="str">
        <f t="shared" si="5"/>
        <v/>
      </c>
      <c r="E325" s="47" t="str">
        <f>IF(OR(A325="",B325=""),"",MAX(0,MIN(B325,Setup!$B$27+Setup!$B$10)-Setup!$B$10))</f>
        <v/>
      </c>
      <c r="F325" s="47" t="str">
        <f>IF(OR(A325="",B325=""),"",MAX(0,B325-Setup!$B$10))</f>
        <v/>
      </c>
    </row>
    <row r="326" spans="1:6" ht="15" customHeight="1">
      <c r="A326" s="50"/>
      <c r="B326" s="51"/>
      <c r="C326" s="43"/>
      <c r="D326" s="52" t="str">
        <f t="shared" si="5"/>
        <v/>
      </c>
      <c r="E326" s="47" t="str">
        <f>IF(OR(A326="",B326=""),"",MAX(0,MIN(B326,Setup!$B$27+Setup!$B$10)-Setup!$B$10))</f>
        <v/>
      </c>
      <c r="F326" s="47" t="str">
        <f>IF(OR(A326="",B326=""),"",MAX(0,B326-Setup!$B$10))</f>
        <v/>
      </c>
    </row>
    <row r="327" spans="1:6" ht="15" customHeight="1">
      <c r="A327" s="50"/>
      <c r="B327" s="51"/>
      <c r="C327" s="43"/>
      <c r="D327" s="52" t="str">
        <f t="shared" si="5"/>
        <v/>
      </c>
      <c r="E327" s="47" t="str">
        <f>IF(OR(A327="",B327=""),"",MAX(0,MIN(B327,Setup!$B$27+Setup!$B$10)-Setup!$B$10))</f>
        <v/>
      </c>
      <c r="F327" s="47" t="str">
        <f>IF(OR(A327="",B327=""),"",MAX(0,B327-Setup!$B$10))</f>
        <v/>
      </c>
    </row>
    <row r="328" spans="1:6" ht="15" customHeight="1">
      <c r="A328" s="50"/>
      <c r="B328" s="51"/>
      <c r="C328" s="43"/>
      <c r="D328" s="52" t="str">
        <f t="shared" si="5"/>
        <v/>
      </c>
      <c r="E328" s="47" t="str">
        <f>IF(OR(A328="",B328=""),"",MAX(0,MIN(B328,Setup!$B$27+Setup!$B$10)-Setup!$B$10))</f>
        <v/>
      </c>
      <c r="F328" s="47" t="str">
        <f>IF(OR(A328="",B328=""),"",MAX(0,B328-Setup!$B$10))</f>
        <v/>
      </c>
    </row>
    <row r="329" spans="1:6" ht="15" customHeight="1">
      <c r="A329" s="50"/>
      <c r="B329" s="51"/>
      <c r="C329" s="43"/>
      <c r="D329" s="52" t="str">
        <f t="shared" si="5"/>
        <v/>
      </c>
      <c r="E329" s="47" t="str">
        <f>IF(OR(A329="",B329=""),"",MAX(0,MIN(B329,Setup!$B$27+Setup!$B$10)-Setup!$B$10))</f>
        <v/>
      </c>
      <c r="F329" s="47" t="str">
        <f>IF(OR(A329="",B329=""),"",MAX(0,B329-Setup!$B$10))</f>
        <v/>
      </c>
    </row>
    <row r="330" spans="1:6" ht="15" customHeight="1">
      <c r="A330" s="50"/>
      <c r="B330" s="51"/>
      <c r="C330" s="43"/>
      <c r="D330" s="52" t="str">
        <f t="shared" si="5"/>
        <v/>
      </c>
      <c r="E330" s="47" t="str">
        <f>IF(OR(A330="",B330=""),"",MAX(0,MIN(B330,Setup!$B$27+Setup!$B$10)-Setup!$B$10))</f>
        <v/>
      </c>
      <c r="F330" s="47" t="str">
        <f>IF(OR(A330="",B330=""),"",MAX(0,B330-Setup!$B$10))</f>
        <v/>
      </c>
    </row>
    <row r="331" spans="1:6" ht="15" customHeight="1">
      <c r="A331" s="50"/>
      <c r="B331" s="51"/>
      <c r="C331" s="43"/>
      <c r="D331" s="52" t="str">
        <f t="shared" si="5"/>
        <v/>
      </c>
      <c r="E331" s="47" t="str">
        <f>IF(OR(A331="",B331=""),"",MAX(0,MIN(B331,Setup!$B$27+Setup!$B$10)-Setup!$B$10))</f>
        <v/>
      </c>
      <c r="F331" s="47" t="str">
        <f>IF(OR(A331="",B331=""),"",MAX(0,B331-Setup!$B$10))</f>
        <v/>
      </c>
    </row>
    <row r="332" spans="1:6" ht="15" customHeight="1">
      <c r="A332" s="50"/>
      <c r="B332" s="51"/>
      <c r="C332" s="43"/>
      <c r="D332" s="52" t="str">
        <f t="shared" si="5"/>
        <v/>
      </c>
      <c r="E332" s="47" t="str">
        <f>IF(OR(A332="",B332=""),"",MAX(0,MIN(B332,Setup!$B$27+Setup!$B$10)-Setup!$B$10))</f>
        <v/>
      </c>
      <c r="F332" s="47" t="str">
        <f>IF(OR(A332="",B332=""),"",MAX(0,B332-Setup!$B$10))</f>
        <v/>
      </c>
    </row>
    <row r="333" spans="1:6" ht="15" customHeight="1">
      <c r="A333" s="50"/>
      <c r="B333" s="51"/>
      <c r="C333" s="43"/>
      <c r="D333" s="52" t="str">
        <f t="shared" si="5"/>
        <v/>
      </c>
      <c r="E333" s="47" t="str">
        <f>IF(OR(A333="",B333=""),"",MAX(0,MIN(B333,Setup!$B$27+Setup!$B$10)-Setup!$B$10))</f>
        <v/>
      </c>
      <c r="F333" s="47" t="str">
        <f>IF(OR(A333="",B333=""),"",MAX(0,B333-Setup!$B$10))</f>
        <v/>
      </c>
    </row>
    <row r="334" spans="1:6" ht="15" customHeight="1">
      <c r="A334" s="50"/>
      <c r="B334" s="51"/>
      <c r="C334" s="43"/>
      <c r="D334" s="52" t="str">
        <f t="shared" si="5"/>
        <v/>
      </c>
      <c r="E334" s="47" t="str">
        <f>IF(OR(A334="",B334=""),"",MAX(0,MIN(B334,Setup!$B$27+Setup!$B$10)-Setup!$B$10))</f>
        <v/>
      </c>
      <c r="F334" s="47" t="str">
        <f>IF(OR(A334="",B334=""),"",MAX(0,B334-Setup!$B$10))</f>
        <v/>
      </c>
    </row>
    <row r="335" spans="1:6" ht="15" customHeight="1">
      <c r="A335" s="50"/>
      <c r="B335" s="51"/>
      <c r="C335" s="43"/>
      <c r="D335" s="52" t="str">
        <f t="shared" si="5"/>
        <v/>
      </c>
      <c r="E335" s="47" t="str">
        <f>IF(OR(A335="",B335=""),"",MAX(0,MIN(B335,Setup!$B$27+Setup!$B$10)-Setup!$B$10))</f>
        <v/>
      </c>
      <c r="F335" s="47" t="str">
        <f>IF(OR(A335="",B335=""),"",MAX(0,B335-Setup!$B$10))</f>
        <v/>
      </c>
    </row>
    <row r="336" spans="1:6" ht="15" customHeight="1">
      <c r="A336" s="50"/>
      <c r="B336" s="51"/>
      <c r="C336" s="43"/>
      <c r="D336" s="52" t="str">
        <f t="shared" si="5"/>
        <v/>
      </c>
      <c r="E336" s="47" t="str">
        <f>IF(OR(A336="",B336=""),"",MAX(0,MIN(B336,Setup!$B$27+Setup!$B$10)-Setup!$B$10))</f>
        <v/>
      </c>
      <c r="F336" s="47" t="str">
        <f>IF(OR(A336="",B336=""),"",MAX(0,B336-Setup!$B$10))</f>
        <v/>
      </c>
    </row>
    <row r="337" spans="1:6" ht="15" customHeight="1">
      <c r="A337" s="50"/>
      <c r="B337" s="51"/>
      <c r="C337" s="43"/>
      <c r="D337" s="52" t="str">
        <f t="shared" si="5"/>
        <v/>
      </c>
      <c r="E337" s="47" t="str">
        <f>IF(OR(A337="",B337=""),"",MAX(0,MIN(B337,Setup!$B$27+Setup!$B$10)-Setup!$B$10))</f>
        <v/>
      </c>
      <c r="F337" s="47" t="str">
        <f>IF(OR(A337="",B337=""),"",MAX(0,B337-Setup!$B$10))</f>
        <v/>
      </c>
    </row>
    <row r="338" spans="1:6" ht="15" customHeight="1">
      <c r="A338" s="50"/>
      <c r="B338" s="51"/>
      <c r="C338" s="43"/>
      <c r="D338" s="52" t="str">
        <f t="shared" si="5"/>
        <v/>
      </c>
      <c r="E338" s="47" t="str">
        <f>IF(OR(A338="",B338=""),"",MAX(0,MIN(B338,Setup!$B$27+Setup!$B$10)-Setup!$B$10))</f>
        <v/>
      </c>
      <c r="F338" s="47" t="str">
        <f>IF(OR(A338="",B338=""),"",MAX(0,B338-Setup!$B$10))</f>
        <v/>
      </c>
    </row>
    <row r="339" spans="1:6" ht="15" customHeight="1">
      <c r="A339" s="50"/>
      <c r="B339" s="51"/>
      <c r="C339" s="43"/>
      <c r="D339" s="52" t="str">
        <f t="shared" si="5"/>
        <v/>
      </c>
      <c r="E339" s="47" t="str">
        <f>IF(OR(A339="",B339=""),"",MAX(0,MIN(B339,Setup!$B$27+Setup!$B$10)-Setup!$B$10))</f>
        <v/>
      </c>
      <c r="F339" s="47" t="str">
        <f>IF(OR(A339="",B339=""),"",MAX(0,B339-Setup!$B$10))</f>
        <v/>
      </c>
    </row>
    <row r="340" spans="1:6" ht="15" customHeight="1">
      <c r="A340" s="50"/>
      <c r="B340" s="51"/>
      <c r="C340" s="43"/>
      <c r="D340" s="52" t="str">
        <f t="shared" si="5"/>
        <v/>
      </c>
      <c r="E340" s="47" t="str">
        <f>IF(OR(A340="",B340=""),"",MAX(0,MIN(B340,Setup!$B$27+Setup!$B$10)-Setup!$B$10))</f>
        <v/>
      </c>
      <c r="F340" s="47" t="str">
        <f>IF(OR(A340="",B340=""),"",MAX(0,B340-Setup!$B$10))</f>
        <v/>
      </c>
    </row>
    <row r="341" spans="1:6" ht="15" customHeight="1">
      <c r="A341" s="50"/>
      <c r="B341" s="51"/>
      <c r="C341" s="43"/>
      <c r="D341" s="52" t="str">
        <f t="shared" si="5"/>
        <v/>
      </c>
      <c r="E341" s="47" t="str">
        <f>IF(OR(A341="",B341=""),"",MAX(0,MIN(B341,Setup!$B$27+Setup!$B$10)-Setup!$B$10))</f>
        <v/>
      </c>
      <c r="F341" s="47" t="str">
        <f>IF(OR(A341="",B341=""),"",MAX(0,B341-Setup!$B$10))</f>
        <v/>
      </c>
    </row>
    <row r="342" spans="1:6" ht="15" customHeight="1">
      <c r="A342" s="50"/>
      <c r="B342" s="51"/>
      <c r="C342" s="43"/>
      <c r="D342" s="52" t="str">
        <f t="shared" si="5"/>
        <v/>
      </c>
      <c r="E342" s="47" t="str">
        <f>IF(OR(A342="",B342=""),"",MAX(0,MIN(B342,Setup!$B$27+Setup!$B$10)-Setup!$B$10))</f>
        <v/>
      </c>
      <c r="F342" s="47" t="str">
        <f>IF(OR(A342="",B342=""),"",MAX(0,B342-Setup!$B$10))</f>
        <v/>
      </c>
    </row>
    <row r="343" spans="1:6" ht="15" customHeight="1">
      <c r="A343" s="50"/>
      <c r="B343" s="51"/>
      <c r="C343" s="43"/>
      <c r="D343" s="52" t="str">
        <f t="shared" si="5"/>
        <v/>
      </c>
      <c r="E343" s="47" t="str">
        <f>IF(OR(A343="",B343=""),"",MAX(0,MIN(B343,Setup!$B$27+Setup!$B$10)-Setup!$B$10))</f>
        <v/>
      </c>
      <c r="F343" s="47" t="str">
        <f>IF(OR(A343="",B343=""),"",MAX(0,B343-Setup!$B$10))</f>
        <v/>
      </c>
    </row>
    <row r="344" spans="1:6" ht="15" customHeight="1">
      <c r="A344" s="50"/>
      <c r="B344" s="51"/>
      <c r="C344" s="43"/>
      <c r="D344" s="52" t="str">
        <f t="shared" si="5"/>
        <v/>
      </c>
      <c r="E344" s="47" t="str">
        <f>IF(OR(A344="",B344=""),"",MAX(0,MIN(B344,Setup!$B$27+Setup!$B$10)-Setup!$B$10))</f>
        <v/>
      </c>
      <c r="F344" s="47" t="str">
        <f>IF(OR(A344="",B344=""),"",MAX(0,B344-Setup!$B$10))</f>
        <v/>
      </c>
    </row>
    <row r="345" spans="1:6" ht="15" customHeight="1">
      <c r="A345" s="50"/>
      <c r="B345" s="51"/>
      <c r="C345" s="43"/>
      <c r="D345" s="52" t="str">
        <f t="shared" si="5"/>
        <v/>
      </c>
      <c r="E345" s="47" t="str">
        <f>IF(OR(A345="",B345=""),"",MAX(0,MIN(B345,Setup!$B$27+Setup!$B$10)-Setup!$B$10))</f>
        <v/>
      </c>
      <c r="F345" s="47" t="str">
        <f>IF(OR(A345="",B345=""),"",MAX(0,B345-Setup!$B$10))</f>
        <v/>
      </c>
    </row>
    <row r="346" spans="1:6" ht="15" customHeight="1">
      <c r="A346" s="50"/>
      <c r="B346" s="51"/>
      <c r="C346" s="43"/>
      <c r="D346" s="52" t="str">
        <f t="shared" si="5"/>
        <v/>
      </c>
      <c r="E346" s="47" t="str">
        <f>IF(OR(A346="",B346=""),"",MAX(0,MIN(B346,Setup!$B$27+Setup!$B$10)-Setup!$B$10))</f>
        <v/>
      </c>
      <c r="F346" s="47" t="str">
        <f>IF(OR(A346="",B346=""),"",MAX(0,B346-Setup!$B$10))</f>
        <v/>
      </c>
    </row>
    <row r="347" spans="1:6" ht="15" customHeight="1">
      <c r="A347" s="50"/>
      <c r="B347" s="51"/>
      <c r="C347" s="43"/>
      <c r="D347" s="52" t="str">
        <f t="shared" si="5"/>
        <v/>
      </c>
      <c r="E347" s="47" t="str">
        <f>IF(OR(A347="",B347=""),"",MAX(0,MIN(B347,Setup!$B$27+Setup!$B$10)-Setup!$B$10))</f>
        <v/>
      </c>
      <c r="F347" s="47" t="str">
        <f>IF(OR(A347="",B347=""),"",MAX(0,B347-Setup!$B$10))</f>
        <v/>
      </c>
    </row>
    <row r="348" spans="1:6" ht="15" customHeight="1">
      <c r="A348" s="50"/>
      <c r="B348" s="51"/>
      <c r="C348" s="43"/>
      <c r="D348" s="52" t="str">
        <f t="shared" si="5"/>
        <v/>
      </c>
      <c r="E348" s="47" t="str">
        <f>IF(OR(A348="",B348=""),"",MAX(0,MIN(B348,Setup!$B$27+Setup!$B$10)-Setup!$B$10))</f>
        <v/>
      </c>
      <c r="F348" s="47" t="str">
        <f>IF(OR(A348="",B348=""),"",MAX(0,B348-Setup!$B$10))</f>
        <v/>
      </c>
    </row>
    <row r="349" spans="1:6" ht="15" customHeight="1">
      <c r="A349" s="50"/>
      <c r="B349" s="51"/>
      <c r="C349" s="43"/>
      <c r="D349" s="52" t="str">
        <f t="shared" si="5"/>
        <v/>
      </c>
      <c r="E349" s="47" t="str">
        <f>IF(OR(A349="",B349=""),"",MAX(0,MIN(B349,Setup!$B$27+Setup!$B$10)-Setup!$B$10))</f>
        <v/>
      </c>
      <c r="F349" s="47" t="str">
        <f>IF(OR(A349="",B349=""),"",MAX(0,B349-Setup!$B$10))</f>
        <v/>
      </c>
    </row>
    <row r="350" spans="1:6" ht="15" customHeight="1">
      <c r="A350" s="50"/>
      <c r="B350" s="51"/>
      <c r="C350" s="43"/>
      <c r="D350" s="52" t="str">
        <f t="shared" si="5"/>
        <v/>
      </c>
      <c r="E350" s="47" t="str">
        <f>IF(OR(A350="",B350=""),"",MAX(0,MIN(B350,Setup!$B$27+Setup!$B$10)-Setup!$B$10))</f>
        <v/>
      </c>
      <c r="F350" s="47" t="str">
        <f>IF(OR(A350="",B350=""),"",MAX(0,B350-Setup!$B$10))</f>
        <v/>
      </c>
    </row>
    <row r="351" spans="1:6" ht="15" customHeight="1">
      <c r="A351" s="50"/>
      <c r="B351" s="51"/>
      <c r="C351" s="43"/>
      <c r="D351" s="52" t="str">
        <f t="shared" si="5"/>
        <v/>
      </c>
      <c r="E351" s="47" t="str">
        <f>IF(OR(A351="",B351=""),"",MAX(0,MIN(B351,Setup!$B$27+Setup!$B$10)-Setup!$B$10))</f>
        <v/>
      </c>
      <c r="F351" s="47" t="str">
        <f>IF(OR(A351="",B351=""),"",MAX(0,B351-Setup!$B$10))</f>
        <v/>
      </c>
    </row>
    <row r="352" spans="1:6" ht="15" customHeight="1">
      <c r="A352" s="50"/>
      <c r="B352" s="51"/>
      <c r="C352" s="43"/>
      <c r="D352" s="52" t="str">
        <f t="shared" si="5"/>
        <v/>
      </c>
      <c r="E352" s="47" t="str">
        <f>IF(OR(A352="",B352=""),"",MAX(0,MIN(B352,Setup!$B$27+Setup!$B$10)-Setup!$B$10))</f>
        <v/>
      </c>
      <c r="F352" s="47" t="str">
        <f>IF(OR(A352="",B352=""),"",MAX(0,B352-Setup!$B$10))</f>
        <v/>
      </c>
    </row>
    <row r="353" spans="1:6" ht="15" customHeight="1">
      <c r="A353" s="50"/>
      <c r="B353" s="51"/>
      <c r="C353" s="43"/>
      <c r="D353" s="52" t="str">
        <f t="shared" si="5"/>
        <v/>
      </c>
      <c r="E353" s="47" t="str">
        <f>IF(OR(A353="",B353=""),"",MAX(0,MIN(B353,Setup!$B$27+Setup!$B$10)-Setup!$B$10))</f>
        <v/>
      </c>
      <c r="F353" s="47" t="str">
        <f>IF(OR(A353="",B353=""),"",MAX(0,B353-Setup!$B$10))</f>
        <v/>
      </c>
    </row>
    <row r="354" spans="1:6" ht="15" customHeight="1">
      <c r="A354" s="50"/>
      <c r="B354" s="51"/>
      <c r="C354" s="43"/>
      <c r="D354" s="52" t="str">
        <f t="shared" si="5"/>
        <v/>
      </c>
      <c r="E354" s="47" t="str">
        <f>IF(OR(A354="",B354=""),"",MAX(0,MIN(B354,Setup!$B$27+Setup!$B$10)-Setup!$B$10))</f>
        <v/>
      </c>
      <c r="F354" s="47" t="str">
        <f>IF(OR(A354="",B354=""),"",MAX(0,B354-Setup!$B$10))</f>
        <v/>
      </c>
    </row>
    <row r="355" spans="1:6" ht="15" customHeight="1">
      <c r="A355" s="50"/>
      <c r="B355" s="51"/>
      <c r="C355" s="43"/>
      <c r="D355" s="52" t="str">
        <f t="shared" si="5"/>
        <v/>
      </c>
      <c r="E355" s="47" t="str">
        <f>IF(OR(A355="",B355=""),"",MAX(0,MIN(B355,Setup!$B$27+Setup!$B$10)-Setup!$B$10))</f>
        <v/>
      </c>
      <c r="F355" s="47" t="str">
        <f>IF(OR(A355="",B355=""),"",MAX(0,B355-Setup!$B$10))</f>
        <v/>
      </c>
    </row>
    <row r="356" spans="1:6" ht="15" customHeight="1">
      <c r="A356" s="50"/>
      <c r="B356" s="51"/>
      <c r="C356" s="43"/>
      <c r="D356" s="52" t="str">
        <f t="shared" si="5"/>
        <v/>
      </c>
      <c r="E356" s="47" t="str">
        <f>IF(OR(A356="",B356=""),"",MAX(0,MIN(B356,Setup!$B$27+Setup!$B$10)-Setup!$B$10))</f>
        <v/>
      </c>
      <c r="F356" s="47" t="str">
        <f>IF(OR(A356="",B356=""),"",MAX(0,B356-Setup!$B$10))</f>
        <v/>
      </c>
    </row>
    <row r="357" spans="1:6" ht="15" customHeight="1">
      <c r="A357" s="50"/>
      <c r="B357" s="51"/>
      <c r="C357" s="43"/>
      <c r="D357" s="52" t="str">
        <f t="shared" si="5"/>
        <v/>
      </c>
      <c r="E357" s="47" t="str">
        <f>IF(OR(A357="",B357=""),"",MAX(0,MIN(B357,Setup!$B$27+Setup!$B$10)-Setup!$B$10))</f>
        <v/>
      </c>
      <c r="F357" s="47" t="str">
        <f>IF(OR(A357="",B357=""),"",MAX(0,B357-Setup!$B$10))</f>
        <v/>
      </c>
    </row>
    <row r="358" spans="1:6" ht="15" customHeight="1">
      <c r="A358" s="50"/>
      <c r="B358" s="51"/>
      <c r="C358" s="43"/>
      <c r="D358" s="52" t="str">
        <f t="shared" si="5"/>
        <v/>
      </c>
      <c r="E358" s="47" t="str">
        <f>IF(OR(A358="",B358=""),"",MAX(0,MIN(B358,Setup!$B$27+Setup!$B$10)-Setup!$B$10))</f>
        <v/>
      </c>
      <c r="F358" s="47" t="str">
        <f>IF(OR(A358="",B358=""),"",MAX(0,B358-Setup!$B$10))</f>
        <v/>
      </c>
    </row>
    <row r="359" spans="1:6" ht="15" customHeight="1">
      <c r="A359" s="50"/>
      <c r="B359" s="51"/>
      <c r="C359" s="43"/>
      <c r="D359" s="52" t="str">
        <f t="shared" si="5"/>
        <v/>
      </c>
      <c r="E359" s="47" t="str">
        <f>IF(OR(A359="",B359=""),"",MAX(0,MIN(B359,Setup!$B$27+Setup!$B$10)-Setup!$B$10))</f>
        <v/>
      </c>
      <c r="F359" s="47" t="str">
        <f>IF(OR(A359="",B359=""),"",MAX(0,B359-Setup!$B$10))</f>
        <v/>
      </c>
    </row>
    <row r="360" spans="1:6" ht="15" customHeight="1">
      <c r="A360" s="50"/>
      <c r="B360" s="51"/>
      <c r="C360" s="43"/>
      <c r="D360" s="52" t="str">
        <f t="shared" si="5"/>
        <v/>
      </c>
      <c r="E360" s="47" t="str">
        <f>IF(OR(A360="",B360=""),"",MAX(0,MIN(B360,Setup!$B$27+Setup!$B$10)-Setup!$B$10))</f>
        <v/>
      </c>
      <c r="F360" s="47" t="str">
        <f>IF(OR(A360="",B360=""),"",MAX(0,B360-Setup!$B$10))</f>
        <v/>
      </c>
    </row>
    <row r="361" spans="1:6" ht="15" customHeight="1">
      <c r="A361" s="50"/>
      <c r="B361" s="51"/>
      <c r="C361" s="43"/>
      <c r="D361" s="52" t="str">
        <f t="shared" si="5"/>
        <v/>
      </c>
      <c r="E361" s="47" t="str">
        <f>IF(OR(A361="",B361=""),"",MAX(0,MIN(B361,Setup!$B$27+Setup!$B$10)-Setup!$B$10))</f>
        <v/>
      </c>
      <c r="F361" s="47" t="str">
        <f>IF(OR(A361="",B361=""),"",MAX(0,B361-Setup!$B$10))</f>
        <v/>
      </c>
    </row>
    <row r="362" spans="1:6" ht="15" customHeight="1">
      <c r="A362" s="50"/>
      <c r="B362" s="51"/>
      <c r="C362" s="43"/>
      <c r="D362" s="52" t="str">
        <f t="shared" si="5"/>
        <v/>
      </c>
      <c r="E362" s="47" t="str">
        <f>IF(OR(A362="",B362=""),"",MAX(0,MIN(B362,Setup!$B$27+Setup!$B$10)-Setup!$B$10))</f>
        <v/>
      </c>
      <c r="F362" s="47" t="str">
        <f>IF(OR(A362="",B362=""),"",MAX(0,B362-Setup!$B$10))</f>
        <v/>
      </c>
    </row>
    <row r="363" spans="1:6" ht="15" customHeight="1">
      <c r="A363" s="50"/>
      <c r="B363" s="51"/>
      <c r="C363" s="43"/>
      <c r="D363" s="52" t="str">
        <f t="shared" si="5"/>
        <v/>
      </c>
      <c r="E363" s="47" t="str">
        <f>IF(OR(A363="",B363=""),"",MAX(0,MIN(B363,Setup!$B$27+Setup!$B$10)-Setup!$B$10))</f>
        <v/>
      </c>
      <c r="F363" s="47" t="str">
        <f>IF(OR(A363="",B363=""),"",MAX(0,B363-Setup!$B$10))</f>
        <v/>
      </c>
    </row>
    <row r="364" spans="1:6" ht="15" customHeight="1">
      <c r="A364" s="50"/>
      <c r="B364" s="51"/>
      <c r="C364" s="43"/>
      <c r="D364" s="52" t="str">
        <f t="shared" si="5"/>
        <v/>
      </c>
      <c r="E364" s="47" t="str">
        <f>IF(OR(A364="",B364=""),"",MAX(0,MIN(B364,Setup!$B$27+Setup!$B$10)-Setup!$B$10))</f>
        <v/>
      </c>
      <c r="F364" s="47" t="str">
        <f>IF(OR(A364="",B364=""),"",MAX(0,B364-Setup!$B$10))</f>
        <v/>
      </c>
    </row>
    <row r="365" spans="1:6" ht="15" customHeight="1">
      <c r="A365" s="50"/>
      <c r="B365" s="51"/>
      <c r="C365" s="43"/>
      <c r="D365" s="52" t="str">
        <f t="shared" si="5"/>
        <v/>
      </c>
      <c r="E365" s="47" t="str">
        <f>IF(OR(A365="",B365=""),"",MAX(0,MIN(B365,Setup!$B$27+Setup!$B$10)-Setup!$B$10))</f>
        <v/>
      </c>
      <c r="F365" s="47" t="str">
        <f>IF(OR(A365="",B365=""),"",MAX(0,B365-Setup!$B$10))</f>
        <v/>
      </c>
    </row>
    <row r="366" spans="1:6" ht="15" customHeight="1">
      <c r="A366" s="50"/>
      <c r="B366" s="51"/>
      <c r="C366" s="43"/>
      <c r="D366" s="52" t="str">
        <f t="shared" si="5"/>
        <v/>
      </c>
      <c r="E366" s="47" t="str">
        <f>IF(OR(A366="",B366=""),"",MAX(0,MIN(B366,Setup!$B$27+Setup!$B$10)-Setup!$B$10))</f>
        <v/>
      </c>
      <c r="F366" s="47" t="str">
        <f>IF(OR(A366="",B366=""),"",MAX(0,B366-Setup!$B$10))</f>
        <v/>
      </c>
    </row>
    <row r="367" spans="1:6" ht="15" customHeight="1">
      <c r="A367" s="50"/>
      <c r="B367" s="51"/>
      <c r="C367" s="43"/>
      <c r="D367" s="52" t="str">
        <f t="shared" si="5"/>
        <v/>
      </c>
      <c r="E367" s="47" t="str">
        <f>IF(OR(A367="",B367=""),"",MAX(0,MIN(B367,Setup!$B$27+Setup!$B$10)-Setup!$B$10))</f>
        <v/>
      </c>
      <c r="F367" s="47" t="str">
        <f>IF(OR(A367="",B367=""),"",MAX(0,B367-Setup!$B$10))</f>
        <v/>
      </c>
    </row>
    <row r="368" spans="1:6" ht="15" customHeight="1">
      <c r="A368" s="50"/>
      <c r="B368" s="51"/>
      <c r="C368" s="43"/>
      <c r="D368" s="52" t="str">
        <f t="shared" si="5"/>
        <v/>
      </c>
      <c r="E368" s="47" t="str">
        <f>IF(OR(A368="",B368=""),"",MAX(0,MIN(B368,Setup!$B$27+Setup!$B$10)-Setup!$B$10))</f>
        <v/>
      </c>
      <c r="F368" s="47" t="str">
        <f>IF(OR(A368="",B368=""),"",MAX(0,B368-Setup!$B$10))</f>
        <v/>
      </c>
    </row>
    <row r="369" spans="1:6" ht="15" customHeight="1">
      <c r="A369" s="50"/>
      <c r="B369" s="51"/>
      <c r="C369" s="43"/>
      <c r="D369" s="52" t="str">
        <f t="shared" si="5"/>
        <v/>
      </c>
      <c r="E369" s="47" t="str">
        <f>IF(OR(A369="",B369=""),"",MAX(0,MIN(B369,Setup!$B$27+Setup!$B$10)-Setup!$B$10))</f>
        <v/>
      </c>
      <c r="F369" s="47" t="str">
        <f>IF(OR(A369="",B369=""),"",MAX(0,B369-Setup!$B$10))</f>
        <v/>
      </c>
    </row>
    <row r="370" spans="1:6" ht="15" customHeight="1">
      <c r="A370" s="50"/>
      <c r="B370" s="51"/>
      <c r="C370" s="43"/>
      <c r="D370" s="52" t="str">
        <f t="shared" si="5"/>
        <v/>
      </c>
      <c r="E370" s="47" t="str">
        <f>IF(OR(A370="",B370=""),"",MAX(0,MIN(B370,Setup!$B$27+Setup!$B$10)-Setup!$B$10))</f>
        <v/>
      </c>
      <c r="F370" s="47" t="str">
        <f>IF(OR(A370="",B370=""),"",MAX(0,B370-Setup!$B$10))</f>
        <v/>
      </c>
    </row>
    <row r="371" spans="1:6" ht="15" customHeight="1">
      <c r="A371" s="50"/>
      <c r="B371" s="51"/>
      <c r="C371" s="43"/>
      <c r="D371" s="52" t="str">
        <f t="shared" si="5"/>
        <v/>
      </c>
      <c r="E371" s="47" t="str">
        <f>IF(OR(A371="",B371=""),"",MAX(0,MIN(B371,Setup!$B$27+Setup!$B$10)-Setup!$B$10))</f>
        <v/>
      </c>
      <c r="F371" s="47" t="str">
        <f>IF(OR(A371="",B371=""),"",MAX(0,B371-Setup!$B$10))</f>
        <v/>
      </c>
    </row>
    <row r="372" spans="1:6" ht="15" customHeight="1">
      <c r="A372" s="50"/>
      <c r="B372" s="51"/>
      <c r="C372" s="43"/>
      <c r="D372" s="52" t="str">
        <f t="shared" si="5"/>
        <v/>
      </c>
      <c r="E372" s="47" t="str">
        <f>IF(OR(A372="",B372=""),"",MAX(0,MIN(B372,Setup!$B$27+Setup!$B$10)-Setup!$B$10))</f>
        <v/>
      </c>
      <c r="F372" s="47" t="str">
        <f>IF(OR(A372="",B372=""),"",MAX(0,B372-Setup!$B$10))</f>
        <v/>
      </c>
    </row>
    <row r="373" spans="1:6" ht="15" customHeight="1">
      <c r="A373" s="50"/>
      <c r="B373" s="51"/>
      <c r="C373" s="43"/>
      <c r="D373" s="52" t="str">
        <f t="shared" si="5"/>
        <v/>
      </c>
      <c r="E373" s="47" t="str">
        <f>IF(OR(A373="",B373=""),"",MAX(0,MIN(B373,Setup!$B$27+Setup!$B$10)-Setup!$B$10))</f>
        <v/>
      </c>
      <c r="F373" s="47" t="str">
        <f>IF(OR(A373="",B373=""),"",MAX(0,B373-Setup!$B$10))</f>
        <v/>
      </c>
    </row>
    <row r="374" spans="1:6" ht="15" customHeight="1">
      <c r="A374" s="50"/>
      <c r="B374" s="51"/>
      <c r="C374" s="43"/>
      <c r="D374" s="52" t="str">
        <f t="shared" si="5"/>
        <v/>
      </c>
      <c r="E374" s="47" t="str">
        <f>IF(OR(A374="",B374=""),"",MAX(0,MIN(B374,Setup!$B$27+Setup!$B$10)-Setup!$B$10))</f>
        <v/>
      </c>
      <c r="F374" s="47" t="str">
        <f>IF(OR(A374="",B374=""),"",MAX(0,B374-Setup!$B$10))</f>
        <v/>
      </c>
    </row>
    <row r="375" spans="1:6" ht="15" customHeight="1">
      <c r="A375" s="50"/>
      <c r="B375" s="51"/>
      <c r="C375" s="43"/>
      <c r="D375" s="52" t="str">
        <f t="shared" si="5"/>
        <v/>
      </c>
      <c r="E375" s="47" t="str">
        <f>IF(OR(A375="",B375=""),"",MAX(0,MIN(B375,Setup!$B$27+Setup!$B$10)-Setup!$B$10))</f>
        <v/>
      </c>
      <c r="F375" s="47" t="str">
        <f>IF(OR(A375="",B375=""),"",MAX(0,B375-Setup!$B$10))</f>
        <v/>
      </c>
    </row>
    <row r="376" spans="1:6" ht="15" customHeight="1">
      <c r="A376" s="50"/>
      <c r="B376" s="51"/>
      <c r="C376" s="43"/>
      <c r="D376" s="52" t="str">
        <f t="shared" si="5"/>
        <v/>
      </c>
      <c r="E376" s="47" t="str">
        <f>IF(OR(A376="",B376=""),"",MAX(0,MIN(B376,Setup!$B$27+Setup!$B$10)-Setup!$B$10))</f>
        <v/>
      </c>
      <c r="F376" s="47" t="str">
        <f>IF(OR(A376="",B376=""),"",MAX(0,B376-Setup!$B$10))</f>
        <v/>
      </c>
    </row>
    <row r="377" spans="1:6" ht="15" customHeight="1">
      <c r="A377" s="50"/>
      <c r="B377" s="51"/>
      <c r="C377" s="43"/>
      <c r="D377" s="52" t="str">
        <f t="shared" si="5"/>
        <v/>
      </c>
      <c r="E377" s="47" t="str">
        <f>IF(OR(A377="",B377=""),"",MAX(0,MIN(B377,Setup!$B$27+Setup!$B$10)-Setup!$B$10))</f>
        <v/>
      </c>
      <c r="F377" s="47" t="str">
        <f>IF(OR(A377="",B377=""),"",MAX(0,B377-Setup!$B$10))</f>
        <v/>
      </c>
    </row>
    <row r="378" spans="1:6" ht="15" customHeight="1">
      <c r="A378" s="50"/>
      <c r="B378" s="51"/>
      <c r="C378" s="43"/>
      <c r="D378" s="52" t="str">
        <f t="shared" si="5"/>
        <v/>
      </c>
      <c r="E378" s="47" t="str">
        <f>IF(OR(A378="",B378=""),"",MAX(0,MIN(B378,Setup!$B$27+Setup!$B$10)-Setup!$B$10))</f>
        <v/>
      </c>
      <c r="F378" s="47" t="str">
        <f>IF(OR(A378="",B378=""),"",MAX(0,B378-Setup!$B$10))</f>
        <v/>
      </c>
    </row>
    <row r="379" spans="1:6" ht="15" customHeight="1">
      <c r="A379" s="50"/>
      <c r="B379" s="51"/>
      <c r="C379" s="43"/>
      <c r="D379" s="52" t="str">
        <f t="shared" si="5"/>
        <v/>
      </c>
      <c r="E379" s="47" t="str">
        <f>IF(OR(A379="",B379=""),"",MAX(0,MIN(B379,Setup!$B$27+Setup!$B$10)-Setup!$B$10))</f>
        <v/>
      </c>
      <c r="F379" s="47" t="str">
        <f>IF(OR(A379="",B379=""),"",MAX(0,B379-Setup!$B$10))</f>
        <v/>
      </c>
    </row>
    <row r="380" spans="1:6" ht="15" customHeight="1">
      <c r="A380" s="50"/>
      <c r="B380" s="51"/>
      <c r="C380" s="43"/>
      <c r="D380" s="52" t="str">
        <f t="shared" si="5"/>
        <v/>
      </c>
      <c r="E380" s="47" t="str">
        <f>IF(OR(A380="",B380=""),"",MAX(0,MIN(B380,Setup!$B$27+Setup!$B$10)-Setup!$B$10))</f>
        <v/>
      </c>
      <c r="F380" s="47" t="str">
        <f>IF(OR(A380="",B380=""),"",MAX(0,B380-Setup!$B$10))</f>
        <v/>
      </c>
    </row>
    <row r="381" spans="1:6" ht="15" customHeight="1">
      <c r="A381" s="50"/>
      <c r="B381" s="51"/>
      <c r="C381" s="43"/>
      <c r="D381" s="52" t="str">
        <f t="shared" si="5"/>
        <v/>
      </c>
      <c r="E381" s="47" t="str">
        <f>IF(OR(A381="",B381=""),"",MAX(0,MIN(B381,Setup!$B$27+Setup!$B$10)-Setup!$B$10))</f>
        <v/>
      </c>
      <c r="F381" s="47" t="str">
        <f>IF(OR(A381="",B381=""),"",MAX(0,B381-Setup!$B$10))</f>
        <v/>
      </c>
    </row>
    <row r="382" spans="1:6" ht="15" customHeight="1">
      <c r="A382" s="50"/>
      <c r="B382" s="51"/>
      <c r="C382" s="43"/>
      <c r="D382" s="52" t="str">
        <f t="shared" si="5"/>
        <v/>
      </c>
      <c r="E382" s="47" t="str">
        <f>IF(OR(A382="",B382=""),"",MAX(0,MIN(B382,Setup!$B$27+Setup!$B$10)-Setup!$B$10))</f>
        <v/>
      </c>
      <c r="F382" s="47" t="str">
        <f>IF(OR(A382="",B382=""),"",MAX(0,B382-Setup!$B$10))</f>
        <v/>
      </c>
    </row>
    <row r="383" spans="1:6" ht="15" customHeight="1">
      <c r="A383" s="50"/>
      <c r="B383" s="51"/>
      <c r="C383" s="43"/>
      <c r="D383" s="52" t="str">
        <f t="shared" si="5"/>
        <v/>
      </c>
      <c r="E383" s="47" t="str">
        <f>IF(OR(A383="",B383=""),"",MAX(0,MIN(B383,Setup!$B$27+Setup!$B$10)-Setup!$B$10))</f>
        <v/>
      </c>
      <c r="F383" s="47" t="str">
        <f>IF(OR(A383="",B383=""),"",MAX(0,B383-Setup!$B$10))</f>
        <v/>
      </c>
    </row>
    <row r="384" spans="1:6" ht="15" customHeight="1">
      <c r="A384" s="50"/>
      <c r="B384" s="51"/>
      <c r="C384" s="43"/>
      <c r="D384" s="52" t="str">
        <f t="shared" si="5"/>
        <v/>
      </c>
      <c r="E384" s="47" t="str">
        <f>IF(OR(A384="",B384=""),"",MAX(0,MIN(B384,Setup!$B$27+Setup!$B$10)-Setup!$B$10))</f>
        <v/>
      </c>
      <c r="F384" s="47" t="str">
        <f>IF(OR(A384="",B384=""),"",MAX(0,B384-Setup!$B$10))</f>
        <v/>
      </c>
    </row>
    <row r="385" spans="1:6" ht="15" customHeight="1">
      <c r="A385" s="50"/>
      <c r="B385" s="51"/>
      <c r="C385" s="43"/>
      <c r="D385" s="52" t="str">
        <f t="shared" si="5"/>
        <v/>
      </c>
      <c r="E385" s="47" t="str">
        <f>IF(OR(A385="",B385=""),"",MAX(0,MIN(B385,Setup!$B$27+Setup!$B$10)-Setup!$B$10))</f>
        <v/>
      </c>
      <c r="F385" s="47" t="str">
        <f>IF(OR(A385="",B385=""),"",MAX(0,B385-Setup!$B$10))</f>
        <v/>
      </c>
    </row>
    <row r="386" spans="1:6" ht="15" customHeight="1">
      <c r="A386" s="50"/>
      <c r="B386" s="51"/>
      <c r="C386" s="43"/>
      <c r="D386" s="52" t="str">
        <f t="shared" si="5"/>
        <v/>
      </c>
      <c r="E386" s="47" t="str">
        <f>IF(OR(A386="",B386=""),"",MAX(0,MIN(B386,Setup!$B$27+Setup!$B$10)-Setup!$B$10))</f>
        <v/>
      </c>
      <c r="F386" s="47" t="str">
        <f>IF(OR(A386="",B386=""),"",MAX(0,B386-Setup!$B$10))</f>
        <v/>
      </c>
    </row>
    <row r="387" spans="1:6" ht="15" customHeight="1">
      <c r="A387" s="50"/>
      <c r="B387" s="51"/>
      <c r="C387" s="43"/>
      <c r="D387" s="52" t="str">
        <f t="shared" ref="D387:D450" si="6">IF(A387="","",YEAR(A387))</f>
        <v/>
      </c>
      <c r="E387" s="47" t="str">
        <f>IF(OR(A387="",B387=""),"",MAX(0,MIN(B387,Setup!$B$27+Setup!$B$10)-Setup!$B$10))</f>
        <v/>
      </c>
      <c r="F387" s="47" t="str">
        <f>IF(OR(A387="",B387=""),"",MAX(0,B387-Setup!$B$10))</f>
        <v/>
      </c>
    </row>
    <row r="388" spans="1:6" ht="15" customHeight="1">
      <c r="A388" s="50"/>
      <c r="B388" s="51"/>
      <c r="C388" s="43"/>
      <c r="D388" s="52" t="str">
        <f t="shared" si="6"/>
        <v/>
      </c>
      <c r="E388" s="47" t="str">
        <f>IF(OR(A388="",B388=""),"",MAX(0,MIN(B388,Setup!$B$27+Setup!$B$10)-Setup!$B$10))</f>
        <v/>
      </c>
      <c r="F388" s="47" t="str">
        <f>IF(OR(A388="",B388=""),"",MAX(0,B388-Setup!$B$10))</f>
        <v/>
      </c>
    </row>
    <row r="389" spans="1:6" ht="15" customHeight="1">
      <c r="A389" s="50"/>
      <c r="B389" s="51"/>
      <c r="C389" s="43"/>
      <c r="D389" s="52" t="str">
        <f t="shared" si="6"/>
        <v/>
      </c>
      <c r="E389" s="47" t="str">
        <f>IF(OR(A389="",B389=""),"",MAX(0,MIN(B389,Setup!$B$27+Setup!$B$10)-Setup!$B$10))</f>
        <v/>
      </c>
      <c r="F389" s="47" t="str">
        <f>IF(OR(A389="",B389=""),"",MAX(0,B389-Setup!$B$10))</f>
        <v/>
      </c>
    </row>
    <row r="390" spans="1:6" ht="15" customHeight="1">
      <c r="A390" s="50"/>
      <c r="B390" s="51"/>
      <c r="C390" s="43"/>
      <c r="D390" s="52" t="str">
        <f t="shared" si="6"/>
        <v/>
      </c>
      <c r="E390" s="47" t="str">
        <f>IF(OR(A390="",B390=""),"",MAX(0,MIN(B390,Setup!$B$27+Setup!$B$10)-Setup!$B$10))</f>
        <v/>
      </c>
      <c r="F390" s="47" t="str">
        <f>IF(OR(A390="",B390=""),"",MAX(0,B390-Setup!$B$10))</f>
        <v/>
      </c>
    </row>
    <row r="391" spans="1:6" ht="15" customHeight="1">
      <c r="A391" s="50"/>
      <c r="B391" s="51"/>
      <c r="C391" s="43"/>
      <c r="D391" s="52" t="str">
        <f t="shared" si="6"/>
        <v/>
      </c>
      <c r="E391" s="47" t="str">
        <f>IF(OR(A391="",B391=""),"",MAX(0,MIN(B391,Setup!$B$27+Setup!$B$10)-Setup!$B$10))</f>
        <v/>
      </c>
      <c r="F391" s="47" t="str">
        <f>IF(OR(A391="",B391=""),"",MAX(0,B391-Setup!$B$10))</f>
        <v/>
      </c>
    </row>
    <row r="392" spans="1:6" ht="15" customHeight="1">
      <c r="A392" s="50"/>
      <c r="B392" s="51"/>
      <c r="C392" s="43"/>
      <c r="D392" s="52" t="str">
        <f t="shared" si="6"/>
        <v/>
      </c>
      <c r="E392" s="47" t="str">
        <f>IF(OR(A392="",B392=""),"",MAX(0,MIN(B392,Setup!$B$27+Setup!$B$10)-Setup!$B$10))</f>
        <v/>
      </c>
      <c r="F392" s="47" t="str">
        <f>IF(OR(A392="",B392=""),"",MAX(0,B392-Setup!$B$10))</f>
        <v/>
      </c>
    </row>
    <row r="393" spans="1:6" ht="15" customHeight="1">
      <c r="A393" s="50"/>
      <c r="B393" s="51"/>
      <c r="C393" s="43"/>
      <c r="D393" s="52" t="str">
        <f t="shared" si="6"/>
        <v/>
      </c>
      <c r="E393" s="47" t="str">
        <f>IF(OR(A393="",B393=""),"",MAX(0,MIN(B393,Setup!$B$27+Setup!$B$10)-Setup!$B$10))</f>
        <v/>
      </c>
      <c r="F393" s="47" t="str">
        <f>IF(OR(A393="",B393=""),"",MAX(0,B393-Setup!$B$10))</f>
        <v/>
      </c>
    </row>
    <row r="394" spans="1:6" ht="15" customHeight="1">
      <c r="A394" s="50"/>
      <c r="B394" s="51"/>
      <c r="C394" s="43"/>
      <c r="D394" s="52" t="str">
        <f t="shared" si="6"/>
        <v/>
      </c>
      <c r="E394" s="47" t="str">
        <f>IF(OR(A394="",B394=""),"",MAX(0,MIN(B394,Setup!$B$27+Setup!$B$10)-Setup!$B$10))</f>
        <v/>
      </c>
      <c r="F394" s="47" t="str">
        <f>IF(OR(A394="",B394=""),"",MAX(0,B394-Setup!$B$10))</f>
        <v/>
      </c>
    </row>
    <row r="395" spans="1:6" ht="15" customHeight="1">
      <c r="A395" s="50"/>
      <c r="B395" s="51"/>
      <c r="C395" s="43"/>
      <c r="D395" s="52" t="str">
        <f t="shared" si="6"/>
        <v/>
      </c>
      <c r="E395" s="47" t="str">
        <f>IF(OR(A395="",B395=""),"",MAX(0,MIN(B395,Setup!$B$27+Setup!$B$10)-Setup!$B$10))</f>
        <v/>
      </c>
      <c r="F395" s="47" t="str">
        <f>IF(OR(A395="",B395=""),"",MAX(0,B395-Setup!$B$10))</f>
        <v/>
      </c>
    </row>
    <row r="396" spans="1:6" ht="15" customHeight="1">
      <c r="A396" s="50"/>
      <c r="B396" s="51"/>
      <c r="C396" s="43"/>
      <c r="D396" s="52" t="str">
        <f t="shared" si="6"/>
        <v/>
      </c>
      <c r="E396" s="47" t="str">
        <f>IF(OR(A396="",B396=""),"",MAX(0,MIN(B396,Setup!$B$27+Setup!$B$10)-Setup!$B$10))</f>
        <v/>
      </c>
      <c r="F396" s="47" t="str">
        <f>IF(OR(A396="",B396=""),"",MAX(0,B396-Setup!$B$10))</f>
        <v/>
      </c>
    </row>
    <row r="397" spans="1:6" ht="15" customHeight="1">
      <c r="A397" s="50"/>
      <c r="B397" s="51"/>
      <c r="C397" s="43"/>
      <c r="D397" s="52" t="str">
        <f t="shared" si="6"/>
        <v/>
      </c>
      <c r="E397" s="47" t="str">
        <f>IF(OR(A397="",B397=""),"",MAX(0,MIN(B397,Setup!$B$27+Setup!$B$10)-Setup!$B$10))</f>
        <v/>
      </c>
      <c r="F397" s="47" t="str">
        <f>IF(OR(A397="",B397=""),"",MAX(0,B397-Setup!$B$10))</f>
        <v/>
      </c>
    </row>
    <row r="398" spans="1:6" ht="15" customHeight="1">
      <c r="A398" s="50"/>
      <c r="B398" s="51"/>
      <c r="C398" s="43"/>
      <c r="D398" s="52" t="str">
        <f t="shared" si="6"/>
        <v/>
      </c>
      <c r="E398" s="47" t="str">
        <f>IF(OR(A398="",B398=""),"",MAX(0,MIN(B398,Setup!$B$27+Setup!$B$10)-Setup!$B$10))</f>
        <v/>
      </c>
      <c r="F398" s="47" t="str">
        <f>IF(OR(A398="",B398=""),"",MAX(0,B398-Setup!$B$10))</f>
        <v/>
      </c>
    </row>
    <row r="399" spans="1:6" ht="15" customHeight="1">
      <c r="A399" s="50"/>
      <c r="B399" s="51"/>
      <c r="C399" s="43"/>
      <c r="D399" s="52" t="str">
        <f t="shared" si="6"/>
        <v/>
      </c>
      <c r="E399" s="47" t="str">
        <f>IF(OR(A399="",B399=""),"",MAX(0,MIN(B399,Setup!$B$27+Setup!$B$10)-Setup!$B$10))</f>
        <v/>
      </c>
      <c r="F399" s="47" t="str">
        <f>IF(OR(A399="",B399=""),"",MAX(0,B399-Setup!$B$10))</f>
        <v/>
      </c>
    </row>
    <row r="400" spans="1:6" ht="15" customHeight="1">
      <c r="A400" s="50"/>
      <c r="B400" s="51"/>
      <c r="C400" s="43"/>
      <c r="D400" s="52" t="str">
        <f t="shared" si="6"/>
        <v/>
      </c>
      <c r="E400" s="47" t="str">
        <f>IF(OR(A400="",B400=""),"",MAX(0,MIN(B400,Setup!$B$27+Setup!$B$10)-Setup!$B$10))</f>
        <v/>
      </c>
      <c r="F400" s="47" t="str">
        <f>IF(OR(A400="",B400=""),"",MAX(0,B400-Setup!$B$10))</f>
        <v/>
      </c>
    </row>
    <row r="401" spans="1:6" ht="15" customHeight="1">
      <c r="A401" s="50"/>
      <c r="B401" s="51"/>
      <c r="C401" s="43"/>
      <c r="D401" s="52" t="str">
        <f t="shared" si="6"/>
        <v/>
      </c>
      <c r="E401" s="47" t="str">
        <f>IF(OR(A401="",B401=""),"",MAX(0,MIN(B401,Setup!$B$27+Setup!$B$10)-Setup!$B$10))</f>
        <v/>
      </c>
      <c r="F401" s="47" t="str">
        <f>IF(OR(A401="",B401=""),"",MAX(0,B401-Setup!$B$10))</f>
        <v/>
      </c>
    </row>
    <row r="402" spans="1:6" ht="15" customHeight="1">
      <c r="A402" s="50"/>
      <c r="B402" s="51"/>
      <c r="C402" s="43"/>
      <c r="D402" s="52" t="str">
        <f t="shared" si="6"/>
        <v/>
      </c>
      <c r="E402" s="47" t="str">
        <f>IF(OR(A402="",B402=""),"",MAX(0,MIN(B402,Setup!$B$27+Setup!$B$10)-Setup!$B$10))</f>
        <v/>
      </c>
      <c r="F402" s="47" t="str">
        <f>IF(OR(A402="",B402=""),"",MAX(0,B402-Setup!$B$10))</f>
        <v/>
      </c>
    </row>
    <row r="403" spans="1:6" ht="15" customHeight="1">
      <c r="A403" s="50"/>
      <c r="B403" s="51"/>
      <c r="C403" s="43"/>
      <c r="D403" s="52" t="str">
        <f t="shared" si="6"/>
        <v/>
      </c>
      <c r="E403" s="47" t="str">
        <f>IF(OR(A403="",B403=""),"",MAX(0,MIN(B403,Setup!$B$27+Setup!$B$10)-Setup!$B$10))</f>
        <v/>
      </c>
      <c r="F403" s="47" t="str">
        <f>IF(OR(A403="",B403=""),"",MAX(0,B403-Setup!$B$10))</f>
        <v/>
      </c>
    </row>
    <row r="404" spans="1:6" ht="15" customHeight="1">
      <c r="A404" s="50"/>
      <c r="B404" s="51"/>
      <c r="C404" s="43"/>
      <c r="D404" s="52" t="str">
        <f t="shared" si="6"/>
        <v/>
      </c>
      <c r="E404" s="47" t="str">
        <f>IF(OR(A404="",B404=""),"",MAX(0,MIN(B404,Setup!$B$27+Setup!$B$10)-Setup!$B$10))</f>
        <v/>
      </c>
      <c r="F404" s="47" t="str">
        <f>IF(OR(A404="",B404=""),"",MAX(0,B404-Setup!$B$10))</f>
        <v/>
      </c>
    </row>
    <row r="405" spans="1:6" ht="15" customHeight="1">
      <c r="A405" s="50"/>
      <c r="B405" s="51"/>
      <c r="C405" s="43"/>
      <c r="D405" s="52" t="str">
        <f t="shared" si="6"/>
        <v/>
      </c>
      <c r="E405" s="47" t="str">
        <f>IF(OR(A405="",B405=""),"",MAX(0,MIN(B405,Setup!$B$27+Setup!$B$10)-Setup!$B$10))</f>
        <v/>
      </c>
      <c r="F405" s="47" t="str">
        <f>IF(OR(A405="",B405=""),"",MAX(0,B405-Setup!$B$10))</f>
        <v/>
      </c>
    </row>
    <row r="406" spans="1:6" ht="15" customHeight="1">
      <c r="A406" s="50"/>
      <c r="B406" s="51"/>
      <c r="C406" s="43"/>
      <c r="D406" s="52" t="str">
        <f t="shared" si="6"/>
        <v/>
      </c>
      <c r="E406" s="47" t="str">
        <f>IF(OR(A406="",B406=""),"",MAX(0,MIN(B406,Setup!$B$27+Setup!$B$10)-Setup!$B$10))</f>
        <v/>
      </c>
      <c r="F406" s="47" t="str">
        <f>IF(OR(A406="",B406=""),"",MAX(0,B406-Setup!$B$10))</f>
        <v/>
      </c>
    </row>
    <row r="407" spans="1:6" ht="15" customHeight="1">
      <c r="A407" s="50"/>
      <c r="B407" s="51"/>
      <c r="C407" s="43"/>
      <c r="D407" s="52" t="str">
        <f t="shared" si="6"/>
        <v/>
      </c>
      <c r="E407" s="47" t="str">
        <f>IF(OR(A407="",B407=""),"",MAX(0,MIN(B407,Setup!$B$27+Setup!$B$10)-Setup!$B$10))</f>
        <v/>
      </c>
      <c r="F407" s="47" t="str">
        <f>IF(OR(A407="",B407=""),"",MAX(0,B407-Setup!$B$10))</f>
        <v/>
      </c>
    </row>
    <row r="408" spans="1:6" ht="15" customHeight="1">
      <c r="A408" s="50"/>
      <c r="B408" s="51"/>
      <c r="C408" s="43"/>
      <c r="D408" s="52" t="str">
        <f t="shared" si="6"/>
        <v/>
      </c>
      <c r="E408" s="47" t="str">
        <f>IF(OR(A408="",B408=""),"",MAX(0,MIN(B408,Setup!$B$27+Setup!$B$10)-Setup!$B$10))</f>
        <v/>
      </c>
      <c r="F408" s="47" t="str">
        <f>IF(OR(A408="",B408=""),"",MAX(0,B408-Setup!$B$10))</f>
        <v/>
      </c>
    </row>
    <row r="409" spans="1:6" ht="15" customHeight="1">
      <c r="A409" s="50"/>
      <c r="B409" s="51"/>
      <c r="C409" s="43"/>
      <c r="D409" s="52" t="str">
        <f t="shared" si="6"/>
        <v/>
      </c>
      <c r="E409" s="47" t="str">
        <f>IF(OR(A409="",B409=""),"",MAX(0,MIN(B409,Setup!$B$27+Setup!$B$10)-Setup!$B$10))</f>
        <v/>
      </c>
      <c r="F409" s="47" t="str">
        <f>IF(OR(A409="",B409=""),"",MAX(0,B409-Setup!$B$10))</f>
        <v/>
      </c>
    </row>
    <row r="410" spans="1:6" ht="15" customHeight="1">
      <c r="A410" s="50"/>
      <c r="B410" s="51"/>
      <c r="C410" s="43"/>
      <c r="D410" s="52" t="str">
        <f t="shared" si="6"/>
        <v/>
      </c>
      <c r="E410" s="47" t="str">
        <f>IF(OR(A410="",B410=""),"",MAX(0,MIN(B410,Setup!$B$27+Setup!$B$10)-Setup!$B$10))</f>
        <v/>
      </c>
      <c r="F410" s="47" t="str">
        <f>IF(OR(A410="",B410=""),"",MAX(0,B410-Setup!$B$10))</f>
        <v/>
      </c>
    </row>
    <row r="411" spans="1:6" ht="15" customHeight="1">
      <c r="A411" s="50"/>
      <c r="B411" s="51"/>
      <c r="C411" s="43"/>
      <c r="D411" s="52" t="str">
        <f t="shared" si="6"/>
        <v/>
      </c>
      <c r="E411" s="47" t="str">
        <f>IF(OR(A411="",B411=""),"",MAX(0,MIN(B411,Setup!$B$27+Setup!$B$10)-Setup!$B$10))</f>
        <v/>
      </c>
      <c r="F411" s="47" t="str">
        <f>IF(OR(A411="",B411=""),"",MAX(0,B411-Setup!$B$10))</f>
        <v/>
      </c>
    </row>
    <row r="412" spans="1:6" ht="15" customHeight="1">
      <c r="A412" s="50"/>
      <c r="B412" s="51"/>
      <c r="C412" s="43"/>
      <c r="D412" s="52" t="str">
        <f t="shared" si="6"/>
        <v/>
      </c>
      <c r="E412" s="47" t="str">
        <f>IF(OR(A412="",B412=""),"",MAX(0,MIN(B412,Setup!$B$27+Setup!$B$10)-Setup!$B$10))</f>
        <v/>
      </c>
      <c r="F412" s="47" t="str">
        <f>IF(OR(A412="",B412=""),"",MAX(0,B412-Setup!$B$10))</f>
        <v/>
      </c>
    </row>
    <row r="413" spans="1:6" ht="15" customHeight="1">
      <c r="A413" s="50"/>
      <c r="B413" s="51"/>
      <c r="C413" s="43"/>
      <c r="D413" s="52" t="str">
        <f t="shared" si="6"/>
        <v/>
      </c>
      <c r="E413" s="47" t="str">
        <f>IF(OR(A413="",B413=""),"",MAX(0,MIN(B413,Setup!$B$27+Setup!$B$10)-Setup!$B$10))</f>
        <v/>
      </c>
      <c r="F413" s="47" t="str">
        <f>IF(OR(A413="",B413=""),"",MAX(0,B413-Setup!$B$10))</f>
        <v/>
      </c>
    </row>
    <row r="414" spans="1:6" ht="15" customHeight="1">
      <c r="A414" s="50"/>
      <c r="B414" s="51"/>
      <c r="C414" s="43"/>
      <c r="D414" s="52" t="str">
        <f t="shared" si="6"/>
        <v/>
      </c>
      <c r="E414" s="47" t="str">
        <f>IF(OR(A414="",B414=""),"",MAX(0,MIN(B414,Setup!$B$27+Setup!$B$10)-Setup!$B$10))</f>
        <v/>
      </c>
      <c r="F414" s="47" t="str">
        <f>IF(OR(A414="",B414=""),"",MAX(0,B414-Setup!$B$10))</f>
        <v/>
      </c>
    </row>
    <row r="415" spans="1:6" ht="15" customHeight="1">
      <c r="A415" s="50"/>
      <c r="B415" s="51"/>
      <c r="C415" s="43"/>
      <c r="D415" s="52" t="str">
        <f t="shared" si="6"/>
        <v/>
      </c>
      <c r="E415" s="47" t="str">
        <f>IF(OR(A415="",B415=""),"",MAX(0,MIN(B415,Setup!$B$27+Setup!$B$10)-Setup!$B$10))</f>
        <v/>
      </c>
      <c r="F415" s="47" t="str">
        <f>IF(OR(A415="",B415=""),"",MAX(0,B415-Setup!$B$10))</f>
        <v/>
      </c>
    </row>
    <row r="416" spans="1:6" ht="15" customHeight="1">
      <c r="A416" s="50"/>
      <c r="B416" s="51"/>
      <c r="C416" s="43"/>
      <c r="D416" s="52" t="str">
        <f t="shared" si="6"/>
        <v/>
      </c>
      <c r="E416" s="47" t="str">
        <f>IF(OR(A416="",B416=""),"",MAX(0,MIN(B416,Setup!$B$27+Setup!$B$10)-Setup!$B$10))</f>
        <v/>
      </c>
      <c r="F416" s="47" t="str">
        <f>IF(OR(A416="",B416=""),"",MAX(0,B416-Setup!$B$10))</f>
        <v/>
      </c>
    </row>
    <row r="417" spans="1:6" ht="15" customHeight="1">
      <c r="A417" s="50"/>
      <c r="B417" s="51"/>
      <c r="C417" s="43"/>
      <c r="D417" s="52" t="str">
        <f t="shared" si="6"/>
        <v/>
      </c>
      <c r="E417" s="47" t="str">
        <f>IF(OR(A417="",B417=""),"",MAX(0,MIN(B417,Setup!$B$27+Setup!$B$10)-Setup!$B$10))</f>
        <v/>
      </c>
      <c r="F417" s="47" t="str">
        <f>IF(OR(A417="",B417=""),"",MAX(0,B417-Setup!$B$10))</f>
        <v/>
      </c>
    </row>
    <row r="418" spans="1:6" ht="15" customHeight="1">
      <c r="A418" s="50"/>
      <c r="B418" s="51"/>
      <c r="C418" s="43"/>
      <c r="D418" s="52" t="str">
        <f t="shared" si="6"/>
        <v/>
      </c>
      <c r="E418" s="47" t="str">
        <f>IF(OR(A418="",B418=""),"",MAX(0,MIN(B418,Setup!$B$27+Setup!$B$10)-Setup!$B$10))</f>
        <v/>
      </c>
      <c r="F418" s="47" t="str">
        <f>IF(OR(A418="",B418=""),"",MAX(0,B418-Setup!$B$10))</f>
        <v/>
      </c>
    </row>
    <row r="419" spans="1:6" ht="15" customHeight="1">
      <c r="A419" s="50"/>
      <c r="B419" s="51"/>
      <c r="C419" s="43"/>
      <c r="D419" s="52" t="str">
        <f t="shared" si="6"/>
        <v/>
      </c>
      <c r="E419" s="47" t="str">
        <f>IF(OR(A419="",B419=""),"",MAX(0,MIN(B419,Setup!$B$27+Setup!$B$10)-Setup!$B$10))</f>
        <v/>
      </c>
      <c r="F419" s="47" t="str">
        <f>IF(OR(A419="",B419=""),"",MAX(0,B419-Setup!$B$10))</f>
        <v/>
      </c>
    </row>
    <row r="420" spans="1:6" ht="15" customHeight="1">
      <c r="A420" s="50"/>
      <c r="B420" s="51"/>
      <c r="C420" s="43"/>
      <c r="D420" s="52" t="str">
        <f t="shared" si="6"/>
        <v/>
      </c>
      <c r="E420" s="47" t="str">
        <f>IF(OR(A420="",B420=""),"",MAX(0,MIN(B420,Setup!$B$27+Setup!$B$10)-Setup!$B$10))</f>
        <v/>
      </c>
      <c r="F420" s="47" t="str">
        <f>IF(OR(A420="",B420=""),"",MAX(0,B420-Setup!$B$10))</f>
        <v/>
      </c>
    </row>
    <row r="421" spans="1:6" ht="15" customHeight="1">
      <c r="A421" s="50"/>
      <c r="B421" s="51"/>
      <c r="C421" s="43"/>
      <c r="D421" s="52" t="str">
        <f t="shared" si="6"/>
        <v/>
      </c>
      <c r="E421" s="47" t="str">
        <f>IF(OR(A421="",B421=""),"",MAX(0,MIN(B421,Setup!$B$27+Setup!$B$10)-Setup!$B$10))</f>
        <v/>
      </c>
      <c r="F421" s="47" t="str">
        <f>IF(OR(A421="",B421=""),"",MAX(0,B421-Setup!$B$10))</f>
        <v/>
      </c>
    </row>
    <row r="422" spans="1:6" ht="15" customHeight="1">
      <c r="A422" s="50"/>
      <c r="B422" s="51"/>
      <c r="C422" s="43"/>
      <c r="D422" s="52" t="str">
        <f t="shared" si="6"/>
        <v/>
      </c>
      <c r="E422" s="47" t="str">
        <f>IF(OR(A422="",B422=""),"",MAX(0,MIN(B422,Setup!$B$27+Setup!$B$10)-Setup!$B$10))</f>
        <v/>
      </c>
      <c r="F422" s="47" t="str">
        <f>IF(OR(A422="",B422=""),"",MAX(0,B422-Setup!$B$10))</f>
        <v/>
      </c>
    </row>
    <row r="423" spans="1:6" ht="15" customHeight="1">
      <c r="A423" s="50"/>
      <c r="B423" s="51"/>
      <c r="C423" s="43"/>
      <c r="D423" s="52" t="str">
        <f t="shared" si="6"/>
        <v/>
      </c>
      <c r="E423" s="47" t="str">
        <f>IF(OR(A423="",B423=""),"",MAX(0,MIN(B423,Setup!$B$27+Setup!$B$10)-Setup!$B$10))</f>
        <v/>
      </c>
      <c r="F423" s="47" t="str">
        <f>IF(OR(A423="",B423=""),"",MAX(0,B423-Setup!$B$10))</f>
        <v/>
      </c>
    </row>
    <row r="424" spans="1:6" ht="15" customHeight="1">
      <c r="A424" s="50"/>
      <c r="B424" s="51"/>
      <c r="C424" s="43"/>
      <c r="D424" s="52" t="str">
        <f t="shared" si="6"/>
        <v/>
      </c>
      <c r="E424" s="47" t="str">
        <f>IF(OR(A424="",B424=""),"",MAX(0,MIN(B424,Setup!$B$27+Setup!$B$10)-Setup!$B$10))</f>
        <v/>
      </c>
      <c r="F424" s="47" t="str">
        <f>IF(OR(A424="",B424=""),"",MAX(0,B424-Setup!$B$10))</f>
        <v/>
      </c>
    </row>
    <row r="425" spans="1:6" ht="15" customHeight="1">
      <c r="A425" s="50"/>
      <c r="B425" s="51"/>
      <c r="C425" s="43"/>
      <c r="D425" s="52" t="str">
        <f t="shared" si="6"/>
        <v/>
      </c>
      <c r="E425" s="47" t="str">
        <f>IF(OR(A425="",B425=""),"",MAX(0,MIN(B425,Setup!$B$27+Setup!$B$10)-Setup!$B$10))</f>
        <v/>
      </c>
      <c r="F425" s="47" t="str">
        <f>IF(OR(A425="",B425=""),"",MAX(0,B425-Setup!$B$10))</f>
        <v/>
      </c>
    </row>
    <row r="426" spans="1:6" ht="15" customHeight="1">
      <c r="A426" s="50"/>
      <c r="B426" s="51"/>
      <c r="C426" s="43"/>
      <c r="D426" s="52" t="str">
        <f t="shared" si="6"/>
        <v/>
      </c>
      <c r="E426" s="47" t="str">
        <f>IF(OR(A426="",B426=""),"",MAX(0,MIN(B426,Setup!$B$27+Setup!$B$10)-Setup!$B$10))</f>
        <v/>
      </c>
      <c r="F426" s="47" t="str">
        <f>IF(OR(A426="",B426=""),"",MAX(0,B426-Setup!$B$10))</f>
        <v/>
      </c>
    </row>
    <row r="427" spans="1:6" ht="15" customHeight="1">
      <c r="A427" s="50"/>
      <c r="B427" s="51"/>
      <c r="C427" s="43"/>
      <c r="D427" s="52" t="str">
        <f t="shared" si="6"/>
        <v/>
      </c>
      <c r="E427" s="47" t="str">
        <f>IF(OR(A427="",B427=""),"",MAX(0,MIN(B427,Setup!$B$27+Setup!$B$10)-Setup!$B$10))</f>
        <v/>
      </c>
      <c r="F427" s="47" t="str">
        <f>IF(OR(A427="",B427=""),"",MAX(0,B427-Setup!$B$10))</f>
        <v/>
      </c>
    </row>
    <row r="428" spans="1:6" ht="15" customHeight="1">
      <c r="A428" s="50"/>
      <c r="B428" s="51"/>
      <c r="C428" s="43"/>
      <c r="D428" s="52" t="str">
        <f t="shared" si="6"/>
        <v/>
      </c>
      <c r="E428" s="47" t="str">
        <f>IF(OR(A428="",B428=""),"",MAX(0,MIN(B428,Setup!$B$27+Setup!$B$10)-Setup!$B$10))</f>
        <v/>
      </c>
      <c r="F428" s="47" t="str">
        <f>IF(OR(A428="",B428=""),"",MAX(0,B428-Setup!$B$10))</f>
        <v/>
      </c>
    </row>
    <row r="429" spans="1:6" ht="15" customHeight="1">
      <c r="A429" s="50"/>
      <c r="B429" s="51"/>
      <c r="C429" s="43"/>
      <c r="D429" s="52" t="str">
        <f t="shared" si="6"/>
        <v/>
      </c>
      <c r="E429" s="47" t="str">
        <f>IF(OR(A429="",B429=""),"",MAX(0,MIN(B429,Setup!$B$27+Setup!$B$10)-Setup!$B$10))</f>
        <v/>
      </c>
      <c r="F429" s="47" t="str">
        <f>IF(OR(A429="",B429=""),"",MAX(0,B429-Setup!$B$10))</f>
        <v/>
      </c>
    </row>
    <row r="430" spans="1:6" ht="15" customHeight="1">
      <c r="A430" s="50"/>
      <c r="B430" s="51"/>
      <c r="C430" s="43"/>
      <c r="D430" s="52" t="str">
        <f t="shared" si="6"/>
        <v/>
      </c>
      <c r="E430" s="47" t="str">
        <f>IF(OR(A430="",B430=""),"",MAX(0,MIN(B430,Setup!$B$27+Setup!$B$10)-Setup!$B$10))</f>
        <v/>
      </c>
      <c r="F430" s="47" t="str">
        <f>IF(OR(A430="",B430=""),"",MAX(0,B430-Setup!$B$10))</f>
        <v/>
      </c>
    </row>
    <row r="431" spans="1:6" ht="15" customHeight="1">
      <c r="A431" s="50"/>
      <c r="B431" s="51"/>
      <c r="C431" s="43"/>
      <c r="D431" s="52" t="str">
        <f t="shared" si="6"/>
        <v/>
      </c>
      <c r="E431" s="47" t="str">
        <f>IF(OR(A431="",B431=""),"",MAX(0,MIN(B431,Setup!$B$27+Setup!$B$10)-Setup!$B$10))</f>
        <v/>
      </c>
      <c r="F431" s="47" t="str">
        <f>IF(OR(A431="",B431=""),"",MAX(0,B431-Setup!$B$10))</f>
        <v/>
      </c>
    </row>
    <row r="432" spans="1:6" ht="15" customHeight="1">
      <c r="A432" s="50"/>
      <c r="B432" s="51"/>
      <c r="C432" s="43"/>
      <c r="D432" s="52" t="str">
        <f t="shared" si="6"/>
        <v/>
      </c>
      <c r="E432" s="47" t="str">
        <f>IF(OR(A432="",B432=""),"",MAX(0,MIN(B432,Setup!$B$27+Setup!$B$10)-Setup!$B$10))</f>
        <v/>
      </c>
      <c r="F432" s="47" t="str">
        <f>IF(OR(A432="",B432=""),"",MAX(0,B432-Setup!$B$10))</f>
        <v/>
      </c>
    </row>
    <row r="433" spans="1:6" ht="15" customHeight="1">
      <c r="A433" s="50"/>
      <c r="B433" s="51"/>
      <c r="C433" s="43"/>
      <c r="D433" s="52" t="str">
        <f t="shared" si="6"/>
        <v/>
      </c>
      <c r="E433" s="47" t="str">
        <f>IF(OR(A433="",B433=""),"",MAX(0,MIN(B433,Setup!$B$27+Setup!$B$10)-Setup!$B$10))</f>
        <v/>
      </c>
      <c r="F433" s="47" t="str">
        <f>IF(OR(A433="",B433=""),"",MAX(0,B433-Setup!$B$10))</f>
        <v/>
      </c>
    </row>
    <row r="434" spans="1:6" ht="15" customHeight="1">
      <c r="A434" s="50"/>
      <c r="B434" s="51"/>
      <c r="C434" s="43"/>
      <c r="D434" s="52" t="str">
        <f t="shared" si="6"/>
        <v/>
      </c>
      <c r="E434" s="47" t="str">
        <f>IF(OR(A434="",B434=""),"",MAX(0,MIN(B434,Setup!$B$27+Setup!$B$10)-Setup!$B$10))</f>
        <v/>
      </c>
      <c r="F434" s="47" t="str">
        <f>IF(OR(A434="",B434=""),"",MAX(0,B434-Setup!$B$10))</f>
        <v/>
      </c>
    </row>
    <row r="435" spans="1:6" ht="15" customHeight="1">
      <c r="A435" s="50"/>
      <c r="B435" s="51"/>
      <c r="C435" s="43"/>
      <c r="D435" s="52" t="str">
        <f t="shared" si="6"/>
        <v/>
      </c>
      <c r="E435" s="47" t="str">
        <f>IF(OR(A435="",B435=""),"",MAX(0,MIN(B435,Setup!$B$27+Setup!$B$10)-Setup!$B$10))</f>
        <v/>
      </c>
      <c r="F435" s="47" t="str">
        <f>IF(OR(A435="",B435=""),"",MAX(0,B435-Setup!$B$10))</f>
        <v/>
      </c>
    </row>
    <row r="436" spans="1:6" ht="15" customHeight="1">
      <c r="A436" s="50"/>
      <c r="B436" s="51"/>
      <c r="C436" s="43"/>
      <c r="D436" s="52" t="str">
        <f t="shared" si="6"/>
        <v/>
      </c>
      <c r="E436" s="47" t="str">
        <f>IF(OR(A436="",B436=""),"",MAX(0,MIN(B436,Setup!$B$27+Setup!$B$10)-Setup!$B$10))</f>
        <v/>
      </c>
      <c r="F436" s="47" t="str">
        <f>IF(OR(A436="",B436=""),"",MAX(0,B436-Setup!$B$10))</f>
        <v/>
      </c>
    </row>
    <row r="437" spans="1:6" ht="15" customHeight="1">
      <c r="A437" s="50"/>
      <c r="B437" s="51"/>
      <c r="C437" s="43"/>
      <c r="D437" s="52" t="str">
        <f t="shared" si="6"/>
        <v/>
      </c>
      <c r="E437" s="47" t="str">
        <f>IF(OR(A437="",B437=""),"",MAX(0,MIN(B437,Setup!$B$27+Setup!$B$10)-Setup!$B$10))</f>
        <v/>
      </c>
      <c r="F437" s="47" t="str">
        <f>IF(OR(A437="",B437=""),"",MAX(0,B437-Setup!$B$10))</f>
        <v/>
      </c>
    </row>
    <row r="438" spans="1:6" ht="15" customHeight="1">
      <c r="A438" s="50"/>
      <c r="B438" s="51"/>
      <c r="C438" s="43"/>
      <c r="D438" s="52" t="str">
        <f t="shared" si="6"/>
        <v/>
      </c>
      <c r="E438" s="47" t="str">
        <f>IF(OR(A438="",B438=""),"",MAX(0,MIN(B438,Setup!$B$27+Setup!$B$10)-Setup!$B$10))</f>
        <v/>
      </c>
      <c r="F438" s="47" t="str">
        <f>IF(OR(A438="",B438=""),"",MAX(0,B438-Setup!$B$10))</f>
        <v/>
      </c>
    </row>
    <row r="439" spans="1:6" ht="15" customHeight="1">
      <c r="A439" s="50"/>
      <c r="B439" s="51"/>
      <c r="C439" s="43"/>
      <c r="D439" s="52" t="str">
        <f t="shared" si="6"/>
        <v/>
      </c>
      <c r="E439" s="47" t="str">
        <f>IF(OR(A439="",B439=""),"",MAX(0,MIN(B439,Setup!$B$27+Setup!$B$10)-Setup!$B$10))</f>
        <v/>
      </c>
      <c r="F439" s="47" t="str">
        <f>IF(OR(A439="",B439=""),"",MAX(0,B439-Setup!$B$10))</f>
        <v/>
      </c>
    </row>
    <row r="440" spans="1:6" ht="15" customHeight="1">
      <c r="A440" s="50"/>
      <c r="B440" s="51"/>
      <c r="C440" s="43"/>
      <c r="D440" s="52" t="str">
        <f t="shared" si="6"/>
        <v/>
      </c>
      <c r="E440" s="47" t="str">
        <f>IF(OR(A440="",B440=""),"",MAX(0,MIN(B440,Setup!$B$27+Setup!$B$10)-Setup!$B$10))</f>
        <v/>
      </c>
      <c r="F440" s="47" t="str">
        <f>IF(OR(A440="",B440=""),"",MAX(0,B440-Setup!$B$10))</f>
        <v/>
      </c>
    </row>
    <row r="441" spans="1:6" ht="15" customHeight="1">
      <c r="A441" s="50"/>
      <c r="B441" s="51"/>
      <c r="C441" s="43"/>
      <c r="D441" s="52" t="str">
        <f t="shared" si="6"/>
        <v/>
      </c>
      <c r="E441" s="47" t="str">
        <f>IF(OR(A441="",B441=""),"",MAX(0,MIN(B441,Setup!$B$27+Setup!$B$10)-Setup!$B$10))</f>
        <v/>
      </c>
      <c r="F441" s="47" t="str">
        <f>IF(OR(A441="",B441=""),"",MAX(0,B441-Setup!$B$10))</f>
        <v/>
      </c>
    </row>
    <row r="442" spans="1:6" ht="15" customHeight="1">
      <c r="A442" s="50"/>
      <c r="B442" s="51"/>
      <c r="C442" s="43"/>
      <c r="D442" s="52" t="str">
        <f t="shared" si="6"/>
        <v/>
      </c>
      <c r="E442" s="47" t="str">
        <f>IF(OR(A442="",B442=""),"",MAX(0,MIN(B442,Setup!$B$27+Setup!$B$10)-Setup!$B$10))</f>
        <v/>
      </c>
      <c r="F442" s="47" t="str">
        <f>IF(OR(A442="",B442=""),"",MAX(0,B442-Setup!$B$10))</f>
        <v/>
      </c>
    </row>
    <row r="443" spans="1:6" ht="15" customHeight="1">
      <c r="A443" s="50"/>
      <c r="B443" s="51"/>
      <c r="C443" s="43"/>
      <c r="D443" s="52" t="str">
        <f t="shared" si="6"/>
        <v/>
      </c>
      <c r="E443" s="47" t="str">
        <f>IF(OR(A443="",B443=""),"",MAX(0,MIN(B443,Setup!$B$27+Setup!$B$10)-Setup!$B$10))</f>
        <v/>
      </c>
      <c r="F443" s="47" t="str">
        <f>IF(OR(A443="",B443=""),"",MAX(0,B443-Setup!$B$10))</f>
        <v/>
      </c>
    </row>
    <row r="444" spans="1:6" ht="15" customHeight="1">
      <c r="A444" s="50"/>
      <c r="B444" s="51"/>
      <c r="C444" s="43"/>
      <c r="D444" s="52" t="str">
        <f t="shared" si="6"/>
        <v/>
      </c>
      <c r="E444" s="47" t="str">
        <f>IF(OR(A444="",B444=""),"",MAX(0,MIN(B444,Setup!$B$27+Setup!$B$10)-Setup!$B$10))</f>
        <v/>
      </c>
      <c r="F444" s="47" t="str">
        <f>IF(OR(A444="",B444=""),"",MAX(0,B444-Setup!$B$10))</f>
        <v/>
      </c>
    </row>
    <row r="445" spans="1:6" ht="15" customHeight="1">
      <c r="A445" s="50"/>
      <c r="B445" s="51"/>
      <c r="C445" s="43"/>
      <c r="D445" s="52" t="str">
        <f t="shared" si="6"/>
        <v/>
      </c>
      <c r="E445" s="47" t="str">
        <f>IF(OR(A445="",B445=""),"",MAX(0,MIN(B445,Setup!$B$27+Setup!$B$10)-Setup!$B$10))</f>
        <v/>
      </c>
      <c r="F445" s="47" t="str">
        <f>IF(OR(A445="",B445=""),"",MAX(0,B445-Setup!$B$10))</f>
        <v/>
      </c>
    </row>
    <row r="446" spans="1:6" ht="15" customHeight="1">
      <c r="A446" s="50"/>
      <c r="B446" s="51"/>
      <c r="C446" s="43"/>
      <c r="D446" s="52" t="str">
        <f t="shared" si="6"/>
        <v/>
      </c>
      <c r="E446" s="47" t="str">
        <f>IF(OR(A446="",B446=""),"",MAX(0,MIN(B446,Setup!$B$27+Setup!$B$10)-Setup!$B$10))</f>
        <v/>
      </c>
      <c r="F446" s="47" t="str">
        <f>IF(OR(A446="",B446=""),"",MAX(0,B446-Setup!$B$10))</f>
        <v/>
      </c>
    </row>
    <row r="447" spans="1:6" ht="15" customHeight="1">
      <c r="A447" s="50"/>
      <c r="B447" s="51"/>
      <c r="C447" s="43"/>
      <c r="D447" s="52" t="str">
        <f t="shared" si="6"/>
        <v/>
      </c>
      <c r="E447" s="47" t="str">
        <f>IF(OR(A447="",B447=""),"",MAX(0,MIN(B447,Setup!$B$27+Setup!$B$10)-Setup!$B$10))</f>
        <v/>
      </c>
      <c r="F447" s="47" t="str">
        <f>IF(OR(A447="",B447=""),"",MAX(0,B447-Setup!$B$10))</f>
        <v/>
      </c>
    </row>
    <row r="448" spans="1:6" ht="15" customHeight="1">
      <c r="A448" s="50"/>
      <c r="B448" s="51"/>
      <c r="C448" s="43"/>
      <c r="D448" s="52" t="str">
        <f t="shared" si="6"/>
        <v/>
      </c>
      <c r="E448" s="47" t="str">
        <f>IF(OR(A448="",B448=""),"",MAX(0,MIN(B448,Setup!$B$27+Setup!$B$10)-Setup!$B$10))</f>
        <v/>
      </c>
      <c r="F448" s="47" t="str">
        <f>IF(OR(A448="",B448=""),"",MAX(0,B448-Setup!$B$10))</f>
        <v/>
      </c>
    </row>
    <row r="449" spans="1:6" ht="15" customHeight="1">
      <c r="A449" s="50"/>
      <c r="B449" s="51"/>
      <c r="C449" s="43"/>
      <c r="D449" s="52" t="str">
        <f t="shared" si="6"/>
        <v/>
      </c>
      <c r="E449" s="47" t="str">
        <f>IF(OR(A449="",B449=""),"",MAX(0,MIN(B449,Setup!$B$27+Setup!$B$10)-Setup!$B$10))</f>
        <v/>
      </c>
      <c r="F449" s="47" t="str">
        <f>IF(OR(A449="",B449=""),"",MAX(0,B449-Setup!$B$10))</f>
        <v/>
      </c>
    </row>
    <row r="450" spans="1:6" ht="15" customHeight="1">
      <c r="A450" s="50"/>
      <c r="B450" s="51"/>
      <c r="C450" s="43"/>
      <c r="D450" s="52" t="str">
        <f t="shared" si="6"/>
        <v/>
      </c>
      <c r="E450" s="47" t="str">
        <f>IF(OR(A450="",B450=""),"",MAX(0,MIN(B450,Setup!$B$27+Setup!$B$10)-Setup!$B$10))</f>
        <v/>
      </c>
      <c r="F450" s="47" t="str">
        <f>IF(OR(A450="",B450=""),"",MAX(0,B450-Setup!$B$10))</f>
        <v/>
      </c>
    </row>
    <row r="451" spans="1:6" ht="15" customHeight="1">
      <c r="A451" s="50"/>
      <c r="B451" s="51"/>
      <c r="C451" s="43"/>
      <c r="D451" s="52" t="str">
        <f t="shared" ref="D451:D514" si="7">IF(A451="","",YEAR(A451))</f>
        <v/>
      </c>
      <c r="E451" s="47" t="str">
        <f>IF(OR(A451="",B451=""),"",MAX(0,MIN(B451,Setup!$B$27+Setup!$B$10)-Setup!$B$10))</f>
        <v/>
      </c>
      <c r="F451" s="47" t="str">
        <f>IF(OR(A451="",B451=""),"",MAX(0,B451-Setup!$B$10))</f>
        <v/>
      </c>
    </row>
    <row r="452" spans="1:6" ht="15" customHeight="1">
      <c r="A452" s="50"/>
      <c r="B452" s="51"/>
      <c r="C452" s="43"/>
      <c r="D452" s="52" t="str">
        <f t="shared" si="7"/>
        <v/>
      </c>
      <c r="E452" s="47" t="str">
        <f>IF(OR(A452="",B452=""),"",MAX(0,MIN(B452,Setup!$B$27+Setup!$B$10)-Setup!$B$10))</f>
        <v/>
      </c>
      <c r="F452" s="47" t="str">
        <f>IF(OR(A452="",B452=""),"",MAX(0,B452-Setup!$B$10))</f>
        <v/>
      </c>
    </row>
    <row r="453" spans="1:6" ht="15" customHeight="1">
      <c r="A453" s="50"/>
      <c r="B453" s="51"/>
      <c r="C453" s="43"/>
      <c r="D453" s="52" t="str">
        <f t="shared" si="7"/>
        <v/>
      </c>
      <c r="E453" s="47" t="str">
        <f>IF(OR(A453="",B453=""),"",MAX(0,MIN(B453,Setup!$B$27+Setup!$B$10)-Setup!$B$10))</f>
        <v/>
      </c>
      <c r="F453" s="47" t="str">
        <f>IF(OR(A453="",B453=""),"",MAX(0,B453-Setup!$B$10))</f>
        <v/>
      </c>
    </row>
    <row r="454" spans="1:6" ht="15" customHeight="1">
      <c r="A454" s="50"/>
      <c r="B454" s="51"/>
      <c r="C454" s="43"/>
      <c r="D454" s="52" t="str">
        <f t="shared" si="7"/>
        <v/>
      </c>
      <c r="E454" s="47" t="str">
        <f>IF(OR(A454="",B454=""),"",MAX(0,MIN(B454,Setup!$B$27+Setup!$B$10)-Setup!$B$10))</f>
        <v/>
      </c>
      <c r="F454" s="47" t="str">
        <f>IF(OR(A454="",B454=""),"",MAX(0,B454-Setup!$B$10))</f>
        <v/>
      </c>
    </row>
    <row r="455" spans="1:6" ht="15" customHeight="1">
      <c r="A455" s="50"/>
      <c r="B455" s="51"/>
      <c r="C455" s="43"/>
      <c r="D455" s="52" t="str">
        <f t="shared" si="7"/>
        <v/>
      </c>
      <c r="E455" s="47" t="str">
        <f>IF(OR(A455="",B455=""),"",MAX(0,MIN(B455,Setup!$B$27+Setup!$B$10)-Setup!$B$10))</f>
        <v/>
      </c>
      <c r="F455" s="47" t="str">
        <f>IF(OR(A455="",B455=""),"",MAX(0,B455-Setup!$B$10))</f>
        <v/>
      </c>
    </row>
    <row r="456" spans="1:6" ht="15" customHeight="1">
      <c r="A456" s="50"/>
      <c r="B456" s="51"/>
      <c r="C456" s="43"/>
      <c r="D456" s="52" t="str">
        <f t="shared" si="7"/>
        <v/>
      </c>
      <c r="E456" s="47" t="str">
        <f>IF(OR(A456="",B456=""),"",MAX(0,MIN(B456,Setup!$B$27+Setup!$B$10)-Setup!$B$10))</f>
        <v/>
      </c>
      <c r="F456" s="47" t="str">
        <f>IF(OR(A456="",B456=""),"",MAX(0,B456-Setup!$B$10))</f>
        <v/>
      </c>
    </row>
    <row r="457" spans="1:6" ht="15" customHeight="1">
      <c r="A457" s="50"/>
      <c r="B457" s="51"/>
      <c r="C457" s="43"/>
      <c r="D457" s="52" t="str">
        <f t="shared" si="7"/>
        <v/>
      </c>
      <c r="E457" s="47" t="str">
        <f>IF(OR(A457="",B457=""),"",MAX(0,MIN(B457,Setup!$B$27+Setup!$B$10)-Setup!$B$10))</f>
        <v/>
      </c>
      <c r="F457" s="47" t="str">
        <f>IF(OR(A457="",B457=""),"",MAX(0,B457-Setup!$B$10))</f>
        <v/>
      </c>
    </row>
    <row r="458" spans="1:6" ht="15" customHeight="1">
      <c r="A458" s="50"/>
      <c r="B458" s="51"/>
      <c r="C458" s="43"/>
      <c r="D458" s="52" t="str">
        <f t="shared" si="7"/>
        <v/>
      </c>
      <c r="E458" s="47" t="str">
        <f>IF(OR(A458="",B458=""),"",MAX(0,MIN(B458,Setup!$B$27+Setup!$B$10)-Setup!$B$10))</f>
        <v/>
      </c>
      <c r="F458" s="47" t="str">
        <f>IF(OR(A458="",B458=""),"",MAX(0,B458-Setup!$B$10))</f>
        <v/>
      </c>
    </row>
    <row r="459" spans="1:6" ht="15" customHeight="1">
      <c r="A459" s="50"/>
      <c r="B459" s="51"/>
      <c r="C459" s="43"/>
      <c r="D459" s="52" t="str">
        <f t="shared" si="7"/>
        <v/>
      </c>
      <c r="E459" s="47" t="str">
        <f>IF(OR(A459="",B459=""),"",MAX(0,MIN(B459,Setup!$B$27+Setup!$B$10)-Setup!$B$10))</f>
        <v/>
      </c>
      <c r="F459" s="47" t="str">
        <f>IF(OR(A459="",B459=""),"",MAX(0,B459-Setup!$B$10))</f>
        <v/>
      </c>
    </row>
    <row r="460" spans="1:6" ht="15" customHeight="1">
      <c r="A460" s="50"/>
      <c r="B460" s="51"/>
      <c r="C460" s="43"/>
      <c r="D460" s="52" t="str">
        <f t="shared" si="7"/>
        <v/>
      </c>
      <c r="E460" s="47" t="str">
        <f>IF(OR(A460="",B460=""),"",MAX(0,MIN(B460,Setup!$B$27+Setup!$B$10)-Setup!$B$10))</f>
        <v/>
      </c>
      <c r="F460" s="47" t="str">
        <f>IF(OR(A460="",B460=""),"",MAX(0,B460-Setup!$B$10))</f>
        <v/>
      </c>
    </row>
    <row r="461" spans="1:6" ht="15" customHeight="1">
      <c r="A461" s="50"/>
      <c r="B461" s="51"/>
      <c r="C461" s="43"/>
      <c r="D461" s="52" t="str">
        <f t="shared" si="7"/>
        <v/>
      </c>
      <c r="E461" s="47" t="str">
        <f>IF(OR(A461="",B461=""),"",MAX(0,MIN(B461,Setup!$B$27+Setup!$B$10)-Setup!$B$10))</f>
        <v/>
      </c>
      <c r="F461" s="47" t="str">
        <f>IF(OR(A461="",B461=""),"",MAX(0,B461-Setup!$B$10))</f>
        <v/>
      </c>
    </row>
    <row r="462" spans="1:6" ht="15" customHeight="1">
      <c r="A462" s="50"/>
      <c r="B462" s="51"/>
      <c r="C462" s="43"/>
      <c r="D462" s="52" t="str">
        <f t="shared" si="7"/>
        <v/>
      </c>
      <c r="E462" s="47" t="str">
        <f>IF(OR(A462="",B462=""),"",MAX(0,MIN(B462,Setup!$B$27+Setup!$B$10)-Setup!$B$10))</f>
        <v/>
      </c>
      <c r="F462" s="47" t="str">
        <f>IF(OR(A462="",B462=""),"",MAX(0,B462-Setup!$B$10))</f>
        <v/>
      </c>
    </row>
    <row r="463" spans="1:6" ht="15" customHeight="1">
      <c r="A463" s="50"/>
      <c r="B463" s="51"/>
      <c r="C463" s="43"/>
      <c r="D463" s="52" t="str">
        <f t="shared" si="7"/>
        <v/>
      </c>
      <c r="E463" s="47" t="str">
        <f>IF(OR(A463="",B463=""),"",MAX(0,MIN(B463,Setup!$B$27+Setup!$B$10)-Setup!$B$10))</f>
        <v/>
      </c>
      <c r="F463" s="47" t="str">
        <f>IF(OR(A463="",B463=""),"",MAX(0,B463-Setup!$B$10))</f>
        <v/>
      </c>
    </row>
    <row r="464" spans="1:6" ht="15" customHeight="1">
      <c r="A464" s="50"/>
      <c r="B464" s="51"/>
      <c r="C464" s="43"/>
      <c r="D464" s="52" t="str">
        <f t="shared" si="7"/>
        <v/>
      </c>
      <c r="E464" s="47" t="str">
        <f>IF(OR(A464="",B464=""),"",MAX(0,MIN(B464,Setup!$B$27+Setup!$B$10)-Setup!$B$10))</f>
        <v/>
      </c>
      <c r="F464" s="47" t="str">
        <f>IF(OR(A464="",B464=""),"",MAX(0,B464-Setup!$B$10))</f>
        <v/>
      </c>
    </row>
    <row r="465" spans="1:6" ht="15" customHeight="1">
      <c r="A465" s="50"/>
      <c r="B465" s="51"/>
      <c r="C465" s="43"/>
      <c r="D465" s="52" t="str">
        <f t="shared" si="7"/>
        <v/>
      </c>
      <c r="E465" s="47" t="str">
        <f>IF(OR(A465="",B465=""),"",MAX(0,MIN(B465,Setup!$B$27+Setup!$B$10)-Setup!$B$10))</f>
        <v/>
      </c>
      <c r="F465" s="47" t="str">
        <f>IF(OR(A465="",B465=""),"",MAX(0,B465-Setup!$B$10))</f>
        <v/>
      </c>
    </row>
    <row r="466" spans="1:6" ht="15" customHeight="1">
      <c r="A466" s="50"/>
      <c r="B466" s="51"/>
      <c r="C466" s="43"/>
      <c r="D466" s="52" t="str">
        <f t="shared" si="7"/>
        <v/>
      </c>
      <c r="E466" s="47" t="str">
        <f>IF(OR(A466="",B466=""),"",MAX(0,MIN(B466,Setup!$B$27+Setup!$B$10)-Setup!$B$10))</f>
        <v/>
      </c>
      <c r="F466" s="47" t="str">
        <f>IF(OR(A466="",B466=""),"",MAX(0,B466-Setup!$B$10))</f>
        <v/>
      </c>
    </row>
    <row r="467" spans="1:6" ht="15" customHeight="1">
      <c r="A467" s="50"/>
      <c r="B467" s="51"/>
      <c r="C467" s="43"/>
      <c r="D467" s="52" t="str">
        <f t="shared" si="7"/>
        <v/>
      </c>
      <c r="E467" s="47" t="str">
        <f>IF(OR(A467="",B467=""),"",MAX(0,MIN(B467,Setup!$B$27+Setup!$B$10)-Setup!$B$10))</f>
        <v/>
      </c>
      <c r="F467" s="47" t="str">
        <f>IF(OR(A467="",B467=""),"",MAX(0,B467-Setup!$B$10))</f>
        <v/>
      </c>
    </row>
    <row r="468" spans="1:6" ht="15" customHeight="1">
      <c r="A468" s="50"/>
      <c r="B468" s="51"/>
      <c r="C468" s="43"/>
      <c r="D468" s="52" t="str">
        <f t="shared" si="7"/>
        <v/>
      </c>
      <c r="E468" s="47" t="str">
        <f>IF(OR(A468="",B468=""),"",MAX(0,MIN(B468,Setup!$B$27+Setup!$B$10)-Setup!$B$10))</f>
        <v/>
      </c>
      <c r="F468" s="47" t="str">
        <f>IF(OR(A468="",B468=""),"",MAX(0,B468-Setup!$B$10))</f>
        <v/>
      </c>
    </row>
    <row r="469" spans="1:6" ht="15" customHeight="1">
      <c r="A469" s="50"/>
      <c r="B469" s="51"/>
      <c r="C469" s="43"/>
      <c r="D469" s="52" t="str">
        <f t="shared" si="7"/>
        <v/>
      </c>
      <c r="E469" s="47" t="str">
        <f>IF(OR(A469="",B469=""),"",MAX(0,MIN(B469,Setup!$B$27+Setup!$B$10)-Setup!$B$10))</f>
        <v/>
      </c>
      <c r="F469" s="47" t="str">
        <f>IF(OR(A469="",B469=""),"",MAX(0,B469-Setup!$B$10))</f>
        <v/>
      </c>
    </row>
    <row r="470" spans="1:6" ht="15" customHeight="1">
      <c r="A470" s="50"/>
      <c r="B470" s="51"/>
      <c r="C470" s="43"/>
      <c r="D470" s="52" t="str">
        <f t="shared" si="7"/>
        <v/>
      </c>
      <c r="E470" s="47" t="str">
        <f>IF(OR(A470="",B470=""),"",MAX(0,MIN(B470,Setup!$B$27+Setup!$B$10)-Setup!$B$10))</f>
        <v/>
      </c>
      <c r="F470" s="47" t="str">
        <f>IF(OR(A470="",B470=""),"",MAX(0,B470-Setup!$B$10))</f>
        <v/>
      </c>
    </row>
    <row r="471" spans="1:6" ht="15" customHeight="1">
      <c r="A471" s="50"/>
      <c r="B471" s="51"/>
      <c r="C471" s="43"/>
      <c r="D471" s="52" t="str">
        <f t="shared" si="7"/>
        <v/>
      </c>
      <c r="E471" s="47" t="str">
        <f>IF(OR(A471="",B471=""),"",MAX(0,MIN(B471,Setup!$B$27+Setup!$B$10)-Setup!$B$10))</f>
        <v/>
      </c>
      <c r="F471" s="47" t="str">
        <f>IF(OR(A471="",B471=""),"",MAX(0,B471-Setup!$B$10))</f>
        <v/>
      </c>
    </row>
    <row r="472" spans="1:6" ht="15" customHeight="1">
      <c r="A472" s="50"/>
      <c r="B472" s="51"/>
      <c r="C472" s="43"/>
      <c r="D472" s="52" t="str">
        <f t="shared" si="7"/>
        <v/>
      </c>
      <c r="E472" s="47" t="str">
        <f>IF(OR(A472="",B472=""),"",MAX(0,MIN(B472,Setup!$B$27+Setup!$B$10)-Setup!$B$10))</f>
        <v/>
      </c>
      <c r="F472" s="47" t="str">
        <f>IF(OR(A472="",B472=""),"",MAX(0,B472-Setup!$B$10))</f>
        <v/>
      </c>
    </row>
    <row r="473" spans="1:6" ht="15" customHeight="1">
      <c r="A473" s="50"/>
      <c r="B473" s="51"/>
      <c r="C473" s="43"/>
      <c r="D473" s="52" t="str">
        <f t="shared" si="7"/>
        <v/>
      </c>
      <c r="E473" s="47" t="str">
        <f>IF(OR(A473="",B473=""),"",MAX(0,MIN(B473,Setup!$B$27+Setup!$B$10)-Setup!$B$10))</f>
        <v/>
      </c>
      <c r="F473" s="47" t="str">
        <f>IF(OR(A473="",B473=""),"",MAX(0,B473-Setup!$B$10))</f>
        <v/>
      </c>
    </row>
    <row r="474" spans="1:6" ht="15" customHeight="1">
      <c r="A474" s="50"/>
      <c r="B474" s="51"/>
      <c r="C474" s="43"/>
      <c r="D474" s="52" t="str">
        <f t="shared" si="7"/>
        <v/>
      </c>
      <c r="E474" s="47" t="str">
        <f>IF(OR(A474="",B474=""),"",MAX(0,MIN(B474,Setup!$B$27+Setup!$B$10)-Setup!$B$10))</f>
        <v/>
      </c>
      <c r="F474" s="47" t="str">
        <f>IF(OR(A474="",B474=""),"",MAX(0,B474-Setup!$B$10))</f>
        <v/>
      </c>
    </row>
    <row r="475" spans="1:6" ht="15" customHeight="1">
      <c r="A475" s="50"/>
      <c r="B475" s="51"/>
      <c r="C475" s="43"/>
      <c r="D475" s="52" t="str">
        <f t="shared" si="7"/>
        <v/>
      </c>
      <c r="E475" s="47" t="str">
        <f>IF(OR(A475="",B475=""),"",MAX(0,MIN(B475,Setup!$B$27+Setup!$B$10)-Setup!$B$10))</f>
        <v/>
      </c>
      <c r="F475" s="47" t="str">
        <f>IF(OR(A475="",B475=""),"",MAX(0,B475-Setup!$B$10))</f>
        <v/>
      </c>
    </row>
    <row r="476" spans="1:6" ht="15" customHeight="1">
      <c r="A476" s="50"/>
      <c r="B476" s="51"/>
      <c r="C476" s="43"/>
      <c r="D476" s="52" t="str">
        <f t="shared" si="7"/>
        <v/>
      </c>
      <c r="E476" s="47" t="str">
        <f>IF(OR(A476="",B476=""),"",MAX(0,MIN(B476,Setup!$B$27+Setup!$B$10)-Setup!$B$10))</f>
        <v/>
      </c>
      <c r="F476" s="47" t="str">
        <f>IF(OR(A476="",B476=""),"",MAX(0,B476-Setup!$B$10))</f>
        <v/>
      </c>
    </row>
    <row r="477" spans="1:6" ht="15" customHeight="1">
      <c r="A477" s="50"/>
      <c r="B477" s="51"/>
      <c r="C477" s="43"/>
      <c r="D477" s="52" t="str">
        <f t="shared" si="7"/>
        <v/>
      </c>
      <c r="E477" s="47" t="str">
        <f>IF(OR(A477="",B477=""),"",MAX(0,MIN(B477,Setup!$B$27+Setup!$B$10)-Setup!$B$10))</f>
        <v/>
      </c>
      <c r="F477" s="47" t="str">
        <f>IF(OR(A477="",B477=""),"",MAX(0,B477-Setup!$B$10))</f>
        <v/>
      </c>
    </row>
    <row r="478" spans="1:6" ht="15" customHeight="1">
      <c r="A478" s="50"/>
      <c r="B478" s="51"/>
      <c r="C478" s="43"/>
      <c r="D478" s="52" t="str">
        <f t="shared" si="7"/>
        <v/>
      </c>
      <c r="E478" s="47" t="str">
        <f>IF(OR(A478="",B478=""),"",MAX(0,MIN(B478,Setup!$B$27+Setup!$B$10)-Setup!$B$10))</f>
        <v/>
      </c>
      <c r="F478" s="47" t="str">
        <f>IF(OR(A478="",B478=""),"",MAX(0,B478-Setup!$B$10))</f>
        <v/>
      </c>
    </row>
    <row r="479" spans="1:6" ht="15" customHeight="1">
      <c r="A479" s="50"/>
      <c r="B479" s="51"/>
      <c r="C479" s="43"/>
      <c r="D479" s="52" t="str">
        <f t="shared" si="7"/>
        <v/>
      </c>
      <c r="E479" s="47" t="str">
        <f>IF(OR(A479="",B479=""),"",MAX(0,MIN(B479,Setup!$B$27+Setup!$B$10)-Setup!$B$10))</f>
        <v/>
      </c>
      <c r="F479" s="47" t="str">
        <f>IF(OR(A479="",B479=""),"",MAX(0,B479-Setup!$B$10))</f>
        <v/>
      </c>
    </row>
    <row r="480" spans="1:6" ht="15" customHeight="1">
      <c r="A480" s="50"/>
      <c r="B480" s="51"/>
      <c r="C480" s="43"/>
      <c r="D480" s="52" t="str">
        <f t="shared" si="7"/>
        <v/>
      </c>
      <c r="E480" s="47" t="str">
        <f>IF(OR(A480="",B480=""),"",MAX(0,MIN(B480,Setup!$B$27+Setup!$B$10)-Setup!$B$10))</f>
        <v/>
      </c>
      <c r="F480" s="47" t="str">
        <f>IF(OR(A480="",B480=""),"",MAX(0,B480-Setup!$B$10))</f>
        <v/>
      </c>
    </row>
    <row r="481" spans="1:6" ht="15" customHeight="1">
      <c r="A481" s="50"/>
      <c r="B481" s="51"/>
      <c r="C481" s="43"/>
      <c r="D481" s="52" t="str">
        <f t="shared" si="7"/>
        <v/>
      </c>
      <c r="E481" s="47" t="str">
        <f>IF(OR(A481="",B481=""),"",MAX(0,MIN(B481,Setup!$B$27+Setup!$B$10)-Setup!$B$10))</f>
        <v/>
      </c>
      <c r="F481" s="47" t="str">
        <f>IF(OR(A481="",B481=""),"",MAX(0,B481-Setup!$B$10))</f>
        <v/>
      </c>
    </row>
    <row r="482" spans="1:6" ht="15" customHeight="1">
      <c r="A482" s="50"/>
      <c r="B482" s="51"/>
      <c r="C482" s="43"/>
      <c r="D482" s="52" t="str">
        <f t="shared" si="7"/>
        <v/>
      </c>
      <c r="E482" s="47" t="str">
        <f>IF(OR(A482="",B482=""),"",MAX(0,MIN(B482,Setup!$B$27+Setup!$B$10)-Setup!$B$10))</f>
        <v/>
      </c>
      <c r="F482" s="47" t="str">
        <f>IF(OR(A482="",B482=""),"",MAX(0,B482-Setup!$B$10))</f>
        <v/>
      </c>
    </row>
    <row r="483" spans="1:6" ht="15" customHeight="1">
      <c r="A483" s="50"/>
      <c r="B483" s="51"/>
      <c r="C483" s="43"/>
      <c r="D483" s="52" t="str">
        <f t="shared" si="7"/>
        <v/>
      </c>
      <c r="E483" s="47" t="str">
        <f>IF(OR(A483="",B483=""),"",MAX(0,MIN(B483,Setup!$B$27+Setup!$B$10)-Setup!$B$10))</f>
        <v/>
      </c>
      <c r="F483" s="47" t="str">
        <f>IF(OR(A483="",B483=""),"",MAX(0,B483-Setup!$B$10))</f>
        <v/>
      </c>
    </row>
    <row r="484" spans="1:6" ht="15" customHeight="1">
      <c r="A484" s="50"/>
      <c r="B484" s="51"/>
      <c r="C484" s="43"/>
      <c r="D484" s="52" t="str">
        <f t="shared" si="7"/>
        <v/>
      </c>
      <c r="E484" s="47" t="str">
        <f>IF(OR(A484="",B484=""),"",MAX(0,MIN(B484,Setup!$B$27+Setup!$B$10)-Setup!$B$10))</f>
        <v/>
      </c>
      <c r="F484" s="47" t="str">
        <f>IF(OR(A484="",B484=""),"",MAX(0,B484-Setup!$B$10))</f>
        <v/>
      </c>
    </row>
    <row r="485" spans="1:6" ht="15" customHeight="1">
      <c r="A485" s="50"/>
      <c r="B485" s="51"/>
      <c r="C485" s="43"/>
      <c r="D485" s="52" t="str">
        <f t="shared" si="7"/>
        <v/>
      </c>
      <c r="E485" s="47" t="str">
        <f>IF(OR(A485="",B485=""),"",MAX(0,MIN(B485,Setup!$B$27+Setup!$B$10)-Setup!$B$10))</f>
        <v/>
      </c>
      <c r="F485" s="47" t="str">
        <f>IF(OR(A485="",B485=""),"",MAX(0,B485-Setup!$B$10))</f>
        <v/>
      </c>
    </row>
    <row r="486" spans="1:6" ht="15" customHeight="1">
      <c r="A486" s="50"/>
      <c r="B486" s="51"/>
      <c r="C486" s="43"/>
      <c r="D486" s="52" t="str">
        <f t="shared" si="7"/>
        <v/>
      </c>
      <c r="E486" s="47" t="str">
        <f>IF(OR(A486="",B486=""),"",MAX(0,MIN(B486,Setup!$B$27+Setup!$B$10)-Setup!$B$10))</f>
        <v/>
      </c>
      <c r="F486" s="47" t="str">
        <f>IF(OR(A486="",B486=""),"",MAX(0,B486-Setup!$B$10))</f>
        <v/>
      </c>
    </row>
    <row r="487" spans="1:6" ht="15" customHeight="1">
      <c r="A487" s="50"/>
      <c r="B487" s="51"/>
      <c r="C487" s="43"/>
      <c r="D487" s="52" t="str">
        <f t="shared" si="7"/>
        <v/>
      </c>
      <c r="E487" s="47" t="str">
        <f>IF(OR(A487="",B487=""),"",MAX(0,MIN(B487,Setup!$B$27+Setup!$B$10)-Setup!$B$10))</f>
        <v/>
      </c>
      <c r="F487" s="47" t="str">
        <f>IF(OR(A487="",B487=""),"",MAX(0,B487-Setup!$B$10))</f>
        <v/>
      </c>
    </row>
    <row r="488" spans="1:6" ht="15" customHeight="1">
      <c r="A488" s="50"/>
      <c r="B488" s="51"/>
      <c r="C488" s="43"/>
      <c r="D488" s="52" t="str">
        <f t="shared" si="7"/>
        <v/>
      </c>
      <c r="E488" s="47" t="str">
        <f>IF(OR(A488="",B488=""),"",MAX(0,MIN(B488,Setup!$B$27+Setup!$B$10)-Setup!$B$10))</f>
        <v/>
      </c>
      <c r="F488" s="47" t="str">
        <f>IF(OR(A488="",B488=""),"",MAX(0,B488-Setup!$B$10))</f>
        <v/>
      </c>
    </row>
    <row r="489" spans="1:6" ht="15" customHeight="1">
      <c r="A489" s="50"/>
      <c r="B489" s="51"/>
      <c r="C489" s="43"/>
      <c r="D489" s="52" t="str">
        <f t="shared" si="7"/>
        <v/>
      </c>
      <c r="E489" s="47" t="str">
        <f>IF(OR(A489="",B489=""),"",MAX(0,MIN(B489,Setup!$B$27+Setup!$B$10)-Setup!$B$10))</f>
        <v/>
      </c>
      <c r="F489" s="47" t="str">
        <f>IF(OR(A489="",B489=""),"",MAX(0,B489-Setup!$B$10))</f>
        <v/>
      </c>
    </row>
    <row r="490" spans="1:6" ht="15" customHeight="1">
      <c r="A490" s="50"/>
      <c r="B490" s="51"/>
      <c r="C490" s="43"/>
      <c r="D490" s="52" t="str">
        <f t="shared" si="7"/>
        <v/>
      </c>
      <c r="E490" s="47" t="str">
        <f>IF(OR(A490="",B490=""),"",MAX(0,MIN(B490,Setup!$B$27+Setup!$B$10)-Setup!$B$10))</f>
        <v/>
      </c>
      <c r="F490" s="47" t="str">
        <f>IF(OR(A490="",B490=""),"",MAX(0,B490-Setup!$B$10))</f>
        <v/>
      </c>
    </row>
    <row r="491" spans="1:6" ht="15" customHeight="1">
      <c r="A491" s="50"/>
      <c r="B491" s="51"/>
      <c r="C491" s="43"/>
      <c r="D491" s="52" t="str">
        <f t="shared" si="7"/>
        <v/>
      </c>
      <c r="E491" s="47" t="str">
        <f>IF(OR(A491="",B491=""),"",MAX(0,MIN(B491,Setup!$B$27+Setup!$B$10)-Setup!$B$10))</f>
        <v/>
      </c>
      <c r="F491" s="47" t="str">
        <f>IF(OR(A491="",B491=""),"",MAX(0,B491-Setup!$B$10))</f>
        <v/>
      </c>
    </row>
    <row r="492" spans="1:6" ht="15" customHeight="1">
      <c r="A492" s="50"/>
      <c r="B492" s="51"/>
      <c r="C492" s="43"/>
      <c r="D492" s="52" t="str">
        <f t="shared" si="7"/>
        <v/>
      </c>
      <c r="E492" s="47" t="str">
        <f>IF(OR(A492="",B492=""),"",MAX(0,MIN(B492,Setup!$B$27+Setup!$B$10)-Setup!$B$10))</f>
        <v/>
      </c>
      <c r="F492" s="47" t="str">
        <f>IF(OR(A492="",B492=""),"",MAX(0,B492-Setup!$B$10))</f>
        <v/>
      </c>
    </row>
    <row r="493" spans="1:6" ht="15" customHeight="1">
      <c r="A493" s="50"/>
      <c r="B493" s="51"/>
      <c r="C493" s="43"/>
      <c r="D493" s="52" t="str">
        <f t="shared" si="7"/>
        <v/>
      </c>
      <c r="E493" s="47" t="str">
        <f>IF(OR(A493="",B493=""),"",MAX(0,MIN(B493,Setup!$B$27+Setup!$B$10)-Setup!$B$10))</f>
        <v/>
      </c>
      <c r="F493" s="47" t="str">
        <f>IF(OR(A493="",B493=""),"",MAX(0,B493-Setup!$B$10))</f>
        <v/>
      </c>
    </row>
    <row r="494" spans="1:6" ht="15" customHeight="1">
      <c r="A494" s="50"/>
      <c r="B494" s="51"/>
      <c r="C494" s="43"/>
      <c r="D494" s="52" t="str">
        <f t="shared" si="7"/>
        <v/>
      </c>
      <c r="E494" s="47" t="str">
        <f>IF(OR(A494="",B494=""),"",MAX(0,MIN(B494,Setup!$B$27+Setup!$B$10)-Setup!$B$10))</f>
        <v/>
      </c>
      <c r="F494" s="47" t="str">
        <f>IF(OR(A494="",B494=""),"",MAX(0,B494-Setup!$B$10))</f>
        <v/>
      </c>
    </row>
    <row r="495" spans="1:6" ht="15" customHeight="1">
      <c r="A495" s="50"/>
      <c r="B495" s="51"/>
      <c r="C495" s="43"/>
      <c r="D495" s="52" t="str">
        <f t="shared" si="7"/>
        <v/>
      </c>
      <c r="E495" s="47" t="str">
        <f>IF(OR(A495="",B495=""),"",MAX(0,MIN(B495,Setup!$B$27+Setup!$B$10)-Setup!$B$10))</f>
        <v/>
      </c>
      <c r="F495" s="47" t="str">
        <f>IF(OR(A495="",B495=""),"",MAX(0,B495-Setup!$B$10))</f>
        <v/>
      </c>
    </row>
    <row r="496" spans="1:6" ht="15" customHeight="1">
      <c r="A496" s="50"/>
      <c r="B496" s="51"/>
      <c r="C496" s="43"/>
      <c r="D496" s="52" t="str">
        <f t="shared" si="7"/>
        <v/>
      </c>
      <c r="E496" s="47" t="str">
        <f>IF(OR(A496="",B496=""),"",MAX(0,MIN(B496,Setup!$B$27+Setup!$B$10)-Setup!$B$10))</f>
        <v/>
      </c>
      <c r="F496" s="47" t="str">
        <f>IF(OR(A496="",B496=""),"",MAX(0,B496-Setup!$B$10))</f>
        <v/>
      </c>
    </row>
    <row r="497" spans="1:6" ht="15" customHeight="1">
      <c r="A497" s="50"/>
      <c r="B497" s="51"/>
      <c r="C497" s="43"/>
      <c r="D497" s="52" t="str">
        <f t="shared" si="7"/>
        <v/>
      </c>
      <c r="E497" s="47" t="str">
        <f>IF(OR(A497="",B497=""),"",MAX(0,MIN(B497,Setup!$B$27+Setup!$B$10)-Setup!$B$10))</f>
        <v/>
      </c>
      <c r="F497" s="47" t="str">
        <f>IF(OR(A497="",B497=""),"",MAX(0,B497-Setup!$B$10))</f>
        <v/>
      </c>
    </row>
    <row r="498" spans="1:6" ht="15" customHeight="1">
      <c r="A498" s="50"/>
      <c r="B498" s="51"/>
      <c r="C498" s="43"/>
      <c r="D498" s="52" t="str">
        <f t="shared" si="7"/>
        <v/>
      </c>
      <c r="E498" s="47" t="str">
        <f>IF(OR(A498="",B498=""),"",MAX(0,MIN(B498,Setup!$B$27+Setup!$B$10)-Setup!$B$10))</f>
        <v/>
      </c>
      <c r="F498" s="47" t="str">
        <f>IF(OR(A498="",B498=""),"",MAX(0,B498-Setup!$B$10))</f>
        <v/>
      </c>
    </row>
    <row r="499" spans="1:6" ht="15" customHeight="1">
      <c r="A499" s="50"/>
      <c r="B499" s="51"/>
      <c r="C499" s="43"/>
      <c r="D499" s="52" t="str">
        <f t="shared" si="7"/>
        <v/>
      </c>
      <c r="E499" s="47" t="str">
        <f>IF(OR(A499="",B499=""),"",MAX(0,MIN(B499,Setup!$B$27+Setup!$B$10)-Setup!$B$10))</f>
        <v/>
      </c>
      <c r="F499" s="47" t="str">
        <f>IF(OR(A499="",B499=""),"",MAX(0,B499-Setup!$B$10))</f>
        <v/>
      </c>
    </row>
    <row r="500" spans="1:6" ht="15" customHeight="1">
      <c r="A500" s="50"/>
      <c r="B500" s="51"/>
      <c r="C500" s="43"/>
      <c r="D500" s="52" t="str">
        <f t="shared" si="7"/>
        <v/>
      </c>
      <c r="E500" s="47" t="str">
        <f>IF(OR(A500="",B500=""),"",MAX(0,MIN(B500,Setup!$B$27+Setup!$B$10)-Setup!$B$10))</f>
        <v/>
      </c>
      <c r="F500" s="47" t="str">
        <f>IF(OR(A500="",B500=""),"",MAX(0,B500-Setup!$B$10))</f>
        <v/>
      </c>
    </row>
    <row r="501" spans="1:6" ht="15" customHeight="1">
      <c r="A501" s="50"/>
      <c r="B501" s="51"/>
      <c r="C501" s="43"/>
      <c r="D501" s="52" t="str">
        <f t="shared" si="7"/>
        <v/>
      </c>
      <c r="E501" s="47" t="str">
        <f>IF(OR(A501="",B501=""),"",MAX(0,MIN(B501,Setup!$B$27+Setup!$B$10)-Setup!$B$10))</f>
        <v/>
      </c>
      <c r="F501" s="47" t="str">
        <f>IF(OR(A501="",B501=""),"",MAX(0,B501-Setup!$B$10))</f>
        <v/>
      </c>
    </row>
    <row r="502" spans="1:6" ht="15" customHeight="1">
      <c r="A502" s="50"/>
      <c r="B502" s="51"/>
      <c r="C502" s="43"/>
      <c r="D502" s="52" t="str">
        <f t="shared" si="7"/>
        <v/>
      </c>
      <c r="E502" s="47" t="str">
        <f>IF(OR(A502="",B502=""),"",MAX(0,MIN(B502,Setup!$B$27+Setup!$B$10)-Setup!$B$10))</f>
        <v/>
      </c>
      <c r="F502" s="47" t="str">
        <f>IF(OR(A502="",B502=""),"",MAX(0,B502-Setup!$B$10))</f>
        <v/>
      </c>
    </row>
    <row r="503" spans="1:6" ht="15" customHeight="1">
      <c r="A503" s="50"/>
      <c r="B503" s="51"/>
      <c r="C503" s="43"/>
      <c r="D503" s="52" t="str">
        <f t="shared" si="7"/>
        <v/>
      </c>
      <c r="E503" s="47" t="str">
        <f>IF(OR(A503="",B503=""),"",MAX(0,MIN(B503,Setup!$B$27+Setup!$B$10)-Setup!$B$10))</f>
        <v/>
      </c>
      <c r="F503" s="47" t="str">
        <f>IF(OR(A503="",B503=""),"",MAX(0,B503-Setup!$B$10))</f>
        <v/>
      </c>
    </row>
    <row r="504" spans="1:6" ht="15" customHeight="1">
      <c r="A504" s="50"/>
      <c r="B504" s="51"/>
      <c r="C504" s="43"/>
      <c r="D504" s="52" t="str">
        <f t="shared" si="7"/>
        <v/>
      </c>
      <c r="E504" s="47" t="str">
        <f>IF(OR(A504="",B504=""),"",MAX(0,MIN(B504,Setup!$B$27+Setup!$B$10)-Setup!$B$10))</f>
        <v/>
      </c>
      <c r="F504" s="47" t="str">
        <f>IF(OR(A504="",B504=""),"",MAX(0,B504-Setup!$B$10))</f>
        <v/>
      </c>
    </row>
    <row r="505" spans="1:6" ht="15" customHeight="1">
      <c r="A505" s="50"/>
      <c r="B505" s="51"/>
      <c r="C505" s="43"/>
      <c r="D505" s="52" t="str">
        <f t="shared" si="7"/>
        <v/>
      </c>
      <c r="E505" s="47" t="str">
        <f>IF(OR(A505="",B505=""),"",MAX(0,MIN(B505,Setup!$B$27+Setup!$B$10)-Setup!$B$10))</f>
        <v/>
      </c>
      <c r="F505" s="47" t="str">
        <f>IF(OR(A505="",B505=""),"",MAX(0,B505-Setup!$B$10))</f>
        <v/>
      </c>
    </row>
    <row r="506" spans="1:6" ht="15" customHeight="1">
      <c r="A506" s="50"/>
      <c r="B506" s="51"/>
      <c r="C506" s="43"/>
      <c r="D506" s="52" t="str">
        <f t="shared" si="7"/>
        <v/>
      </c>
      <c r="E506" s="47" t="str">
        <f>IF(OR(A506="",B506=""),"",MAX(0,MIN(B506,Setup!$B$27+Setup!$B$10)-Setup!$B$10))</f>
        <v/>
      </c>
      <c r="F506" s="47" t="str">
        <f>IF(OR(A506="",B506=""),"",MAX(0,B506-Setup!$B$10))</f>
        <v/>
      </c>
    </row>
    <row r="507" spans="1:6" ht="15" customHeight="1">
      <c r="A507" s="50"/>
      <c r="B507" s="51"/>
      <c r="C507" s="43"/>
      <c r="D507" s="52" t="str">
        <f t="shared" si="7"/>
        <v/>
      </c>
      <c r="E507" s="47" t="str">
        <f>IF(OR(A507="",B507=""),"",MAX(0,MIN(B507,Setup!$B$27+Setup!$B$10)-Setup!$B$10))</f>
        <v/>
      </c>
      <c r="F507" s="47" t="str">
        <f>IF(OR(A507="",B507=""),"",MAX(0,B507-Setup!$B$10))</f>
        <v/>
      </c>
    </row>
    <row r="508" spans="1:6" ht="15" customHeight="1">
      <c r="A508" s="50"/>
      <c r="B508" s="51"/>
      <c r="C508" s="43"/>
      <c r="D508" s="52" t="str">
        <f t="shared" si="7"/>
        <v/>
      </c>
      <c r="E508" s="47" t="str">
        <f>IF(OR(A508="",B508=""),"",MAX(0,MIN(B508,Setup!$B$27+Setup!$B$10)-Setup!$B$10))</f>
        <v/>
      </c>
      <c r="F508" s="47" t="str">
        <f>IF(OR(A508="",B508=""),"",MAX(0,B508-Setup!$B$10))</f>
        <v/>
      </c>
    </row>
    <row r="509" spans="1:6" ht="15" customHeight="1">
      <c r="A509" s="50"/>
      <c r="B509" s="51"/>
      <c r="C509" s="43"/>
      <c r="D509" s="52" t="str">
        <f t="shared" si="7"/>
        <v/>
      </c>
      <c r="E509" s="47" t="str">
        <f>IF(OR(A509="",B509=""),"",MAX(0,MIN(B509,Setup!$B$27+Setup!$B$10)-Setup!$B$10))</f>
        <v/>
      </c>
      <c r="F509" s="47" t="str">
        <f>IF(OR(A509="",B509=""),"",MAX(0,B509-Setup!$B$10))</f>
        <v/>
      </c>
    </row>
    <row r="510" spans="1:6" ht="15" customHeight="1">
      <c r="A510" s="50"/>
      <c r="B510" s="51"/>
      <c r="C510" s="43"/>
      <c r="D510" s="52" t="str">
        <f t="shared" si="7"/>
        <v/>
      </c>
      <c r="E510" s="47" t="str">
        <f>IF(OR(A510="",B510=""),"",MAX(0,MIN(B510,Setup!$B$27+Setup!$B$10)-Setup!$B$10))</f>
        <v/>
      </c>
      <c r="F510" s="47" t="str">
        <f>IF(OR(A510="",B510=""),"",MAX(0,B510-Setup!$B$10))</f>
        <v/>
      </c>
    </row>
    <row r="511" spans="1:6" ht="15" customHeight="1">
      <c r="A511" s="50"/>
      <c r="B511" s="51"/>
      <c r="C511" s="43"/>
      <c r="D511" s="52" t="str">
        <f t="shared" si="7"/>
        <v/>
      </c>
      <c r="E511" s="47" t="str">
        <f>IF(OR(A511="",B511=""),"",MAX(0,MIN(B511,Setup!$B$27+Setup!$B$10)-Setup!$B$10))</f>
        <v/>
      </c>
      <c r="F511" s="47" t="str">
        <f>IF(OR(A511="",B511=""),"",MAX(0,B511-Setup!$B$10))</f>
        <v/>
      </c>
    </row>
    <row r="512" spans="1:6" ht="15" customHeight="1">
      <c r="A512" s="50"/>
      <c r="B512" s="51"/>
      <c r="C512" s="43"/>
      <c r="D512" s="52" t="str">
        <f t="shared" si="7"/>
        <v/>
      </c>
      <c r="E512" s="47" t="str">
        <f>IF(OR(A512="",B512=""),"",MAX(0,MIN(B512,Setup!$B$27+Setup!$B$10)-Setup!$B$10))</f>
        <v/>
      </c>
      <c r="F512" s="47" t="str">
        <f>IF(OR(A512="",B512=""),"",MAX(0,B512-Setup!$B$10))</f>
        <v/>
      </c>
    </row>
    <row r="513" spans="1:6" ht="15" customHeight="1">
      <c r="A513" s="50"/>
      <c r="B513" s="51"/>
      <c r="C513" s="43"/>
      <c r="D513" s="52" t="str">
        <f t="shared" si="7"/>
        <v/>
      </c>
      <c r="E513" s="47" t="str">
        <f>IF(OR(A513="",B513=""),"",MAX(0,MIN(B513,Setup!$B$27+Setup!$B$10)-Setup!$B$10))</f>
        <v/>
      </c>
      <c r="F513" s="47" t="str">
        <f>IF(OR(A513="",B513=""),"",MAX(0,B513-Setup!$B$10))</f>
        <v/>
      </c>
    </row>
    <row r="514" spans="1:6" ht="15" customHeight="1">
      <c r="A514" s="50"/>
      <c r="B514" s="51"/>
      <c r="C514" s="43"/>
      <c r="D514" s="52" t="str">
        <f t="shared" si="7"/>
        <v/>
      </c>
      <c r="E514" s="47" t="str">
        <f>IF(OR(A514="",B514=""),"",MAX(0,MIN(B514,Setup!$B$27+Setup!$B$10)-Setup!$B$10))</f>
        <v/>
      </c>
      <c r="F514" s="47" t="str">
        <f>IF(OR(A514="",B514=""),"",MAX(0,B514-Setup!$B$10))</f>
        <v/>
      </c>
    </row>
    <row r="515" spans="1:6" ht="15" customHeight="1">
      <c r="A515" s="50"/>
      <c r="B515" s="51"/>
      <c r="C515" s="43"/>
      <c r="D515" s="52" t="str">
        <f t="shared" ref="D515:D578" si="8">IF(A515="","",YEAR(A515))</f>
        <v/>
      </c>
      <c r="E515" s="47" t="str">
        <f>IF(OR(A515="",B515=""),"",MAX(0,MIN(B515,Setup!$B$27+Setup!$B$10)-Setup!$B$10))</f>
        <v/>
      </c>
      <c r="F515" s="47" t="str">
        <f>IF(OR(A515="",B515=""),"",MAX(0,B515-Setup!$B$10))</f>
        <v/>
      </c>
    </row>
    <row r="516" spans="1:6" ht="15" customHeight="1">
      <c r="A516" s="50"/>
      <c r="B516" s="51"/>
      <c r="C516" s="43"/>
      <c r="D516" s="52" t="str">
        <f t="shared" si="8"/>
        <v/>
      </c>
      <c r="E516" s="47" t="str">
        <f>IF(OR(A516="",B516=""),"",MAX(0,MIN(B516,Setup!$B$27+Setup!$B$10)-Setup!$B$10))</f>
        <v/>
      </c>
      <c r="F516" s="47" t="str">
        <f>IF(OR(A516="",B516=""),"",MAX(0,B516-Setup!$B$10))</f>
        <v/>
      </c>
    </row>
    <row r="517" spans="1:6" ht="15" customHeight="1">
      <c r="A517" s="50"/>
      <c r="B517" s="51"/>
      <c r="C517" s="43"/>
      <c r="D517" s="52" t="str">
        <f t="shared" si="8"/>
        <v/>
      </c>
      <c r="E517" s="47" t="str">
        <f>IF(OR(A517="",B517=""),"",MAX(0,MIN(B517,Setup!$B$27+Setup!$B$10)-Setup!$B$10))</f>
        <v/>
      </c>
      <c r="F517" s="47" t="str">
        <f>IF(OR(A517="",B517=""),"",MAX(0,B517-Setup!$B$10))</f>
        <v/>
      </c>
    </row>
    <row r="518" spans="1:6" ht="15" customHeight="1">
      <c r="A518" s="50"/>
      <c r="B518" s="51"/>
      <c r="C518" s="43"/>
      <c r="D518" s="52" t="str">
        <f t="shared" si="8"/>
        <v/>
      </c>
      <c r="E518" s="47" t="str">
        <f>IF(OR(A518="",B518=""),"",MAX(0,MIN(B518,Setup!$B$27+Setup!$B$10)-Setup!$B$10))</f>
        <v/>
      </c>
      <c r="F518" s="47" t="str">
        <f>IF(OR(A518="",B518=""),"",MAX(0,B518-Setup!$B$10))</f>
        <v/>
      </c>
    </row>
    <row r="519" spans="1:6" ht="15" customHeight="1">
      <c r="A519" s="50"/>
      <c r="B519" s="51"/>
      <c r="C519" s="43"/>
      <c r="D519" s="52" t="str">
        <f t="shared" si="8"/>
        <v/>
      </c>
      <c r="E519" s="47" t="str">
        <f>IF(OR(A519="",B519=""),"",MAX(0,MIN(B519,Setup!$B$27+Setup!$B$10)-Setup!$B$10))</f>
        <v/>
      </c>
      <c r="F519" s="47" t="str">
        <f>IF(OR(A519="",B519=""),"",MAX(0,B519-Setup!$B$10))</f>
        <v/>
      </c>
    </row>
    <row r="520" spans="1:6" ht="15" customHeight="1">
      <c r="A520" s="50"/>
      <c r="B520" s="51"/>
      <c r="C520" s="43"/>
      <c r="D520" s="52" t="str">
        <f t="shared" si="8"/>
        <v/>
      </c>
      <c r="E520" s="47" t="str">
        <f>IF(OR(A520="",B520=""),"",MAX(0,MIN(B520,Setup!$B$27+Setup!$B$10)-Setup!$B$10))</f>
        <v/>
      </c>
      <c r="F520" s="47" t="str">
        <f>IF(OR(A520="",B520=""),"",MAX(0,B520-Setup!$B$10))</f>
        <v/>
      </c>
    </row>
    <row r="521" spans="1:6" ht="15" customHeight="1">
      <c r="A521" s="50"/>
      <c r="B521" s="51"/>
      <c r="C521" s="43"/>
      <c r="D521" s="52" t="str">
        <f t="shared" si="8"/>
        <v/>
      </c>
      <c r="E521" s="47" t="str">
        <f>IF(OR(A521="",B521=""),"",MAX(0,MIN(B521,Setup!$B$27+Setup!$B$10)-Setup!$B$10))</f>
        <v/>
      </c>
      <c r="F521" s="47" t="str">
        <f>IF(OR(A521="",B521=""),"",MAX(0,B521-Setup!$B$10))</f>
        <v/>
      </c>
    </row>
    <row r="522" spans="1:6" ht="15" customHeight="1">
      <c r="A522" s="50"/>
      <c r="B522" s="51"/>
      <c r="C522" s="43"/>
      <c r="D522" s="52" t="str">
        <f t="shared" si="8"/>
        <v/>
      </c>
      <c r="E522" s="47" t="str">
        <f>IF(OR(A522="",B522=""),"",MAX(0,MIN(B522,Setup!$B$27+Setup!$B$10)-Setup!$B$10))</f>
        <v/>
      </c>
      <c r="F522" s="47" t="str">
        <f>IF(OR(A522="",B522=""),"",MAX(0,B522-Setup!$B$10))</f>
        <v/>
      </c>
    </row>
    <row r="523" spans="1:6" ht="15" customHeight="1">
      <c r="A523" s="50"/>
      <c r="B523" s="51"/>
      <c r="C523" s="43"/>
      <c r="D523" s="52" t="str">
        <f t="shared" si="8"/>
        <v/>
      </c>
      <c r="E523" s="47" t="str">
        <f>IF(OR(A523="",B523=""),"",MAX(0,MIN(B523,Setup!$B$27+Setup!$B$10)-Setup!$B$10))</f>
        <v/>
      </c>
      <c r="F523" s="47" t="str">
        <f>IF(OR(A523="",B523=""),"",MAX(0,B523-Setup!$B$10))</f>
        <v/>
      </c>
    </row>
    <row r="524" spans="1:6" ht="15" customHeight="1">
      <c r="A524" s="50"/>
      <c r="B524" s="51"/>
      <c r="C524" s="43"/>
      <c r="D524" s="52" t="str">
        <f t="shared" si="8"/>
        <v/>
      </c>
      <c r="E524" s="47" t="str">
        <f>IF(OR(A524="",B524=""),"",MAX(0,MIN(B524,Setup!$B$27+Setup!$B$10)-Setup!$B$10))</f>
        <v/>
      </c>
      <c r="F524" s="47" t="str">
        <f>IF(OR(A524="",B524=""),"",MAX(0,B524-Setup!$B$10))</f>
        <v/>
      </c>
    </row>
    <row r="525" spans="1:6" ht="15" customHeight="1">
      <c r="A525" s="50"/>
      <c r="B525" s="51"/>
      <c r="C525" s="43"/>
      <c r="D525" s="52" t="str">
        <f t="shared" si="8"/>
        <v/>
      </c>
      <c r="E525" s="47" t="str">
        <f>IF(OR(A525="",B525=""),"",MAX(0,MIN(B525,Setup!$B$27+Setup!$B$10)-Setup!$B$10))</f>
        <v/>
      </c>
      <c r="F525" s="47" t="str">
        <f>IF(OR(A525="",B525=""),"",MAX(0,B525-Setup!$B$10))</f>
        <v/>
      </c>
    </row>
    <row r="526" spans="1:6" ht="15" customHeight="1">
      <c r="A526" s="50"/>
      <c r="B526" s="51"/>
      <c r="C526" s="43"/>
      <c r="D526" s="52" t="str">
        <f t="shared" si="8"/>
        <v/>
      </c>
      <c r="E526" s="47" t="str">
        <f>IF(OR(A526="",B526=""),"",MAX(0,MIN(B526,Setup!$B$27+Setup!$B$10)-Setup!$B$10))</f>
        <v/>
      </c>
      <c r="F526" s="47" t="str">
        <f>IF(OR(A526="",B526=""),"",MAX(0,B526-Setup!$B$10))</f>
        <v/>
      </c>
    </row>
    <row r="527" spans="1:6" ht="15" customHeight="1">
      <c r="A527" s="50"/>
      <c r="B527" s="51"/>
      <c r="C527" s="43"/>
      <c r="D527" s="52" t="str">
        <f t="shared" si="8"/>
        <v/>
      </c>
      <c r="E527" s="47" t="str">
        <f>IF(OR(A527="",B527=""),"",MAX(0,MIN(B527,Setup!$B$27+Setup!$B$10)-Setup!$B$10))</f>
        <v/>
      </c>
      <c r="F527" s="47" t="str">
        <f>IF(OR(A527="",B527=""),"",MAX(0,B527-Setup!$B$10))</f>
        <v/>
      </c>
    </row>
    <row r="528" spans="1:6" ht="15" customHeight="1">
      <c r="A528" s="50"/>
      <c r="B528" s="51"/>
      <c r="C528" s="43"/>
      <c r="D528" s="52" t="str">
        <f t="shared" si="8"/>
        <v/>
      </c>
      <c r="E528" s="47" t="str">
        <f>IF(OR(A528="",B528=""),"",MAX(0,MIN(B528,Setup!$B$27+Setup!$B$10)-Setup!$B$10))</f>
        <v/>
      </c>
      <c r="F528" s="47" t="str">
        <f>IF(OR(A528="",B528=""),"",MAX(0,B528-Setup!$B$10))</f>
        <v/>
      </c>
    </row>
    <row r="529" spans="1:6" ht="15" customHeight="1">
      <c r="A529" s="50"/>
      <c r="B529" s="51"/>
      <c r="C529" s="43"/>
      <c r="D529" s="52" t="str">
        <f t="shared" si="8"/>
        <v/>
      </c>
      <c r="E529" s="47" t="str">
        <f>IF(OR(A529="",B529=""),"",MAX(0,MIN(B529,Setup!$B$27+Setup!$B$10)-Setup!$B$10))</f>
        <v/>
      </c>
      <c r="F529" s="47" t="str">
        <f>IF(OR(A529="",B529=""),"",MAX(0,B529-Setup!$B$10))</f>
        <v/>
      </c>
    </row>
    <row r="530" spans="1:6" ht="15" customHeight="1">
      <c r="A530" s="50"/>
      <c r="B530" s="51"/>
      <c r="C530" s="43"/>
      <c r="D530" s="52" t="str">
        <f t="shared" si="8"/>
        <v/>
      </c>
      <c r="E530" s="47" t="str">
        <f>IF(OR(A530="",B530=""),"",MAX(0,MIN(B530,Setup!$B$27+Setup!$B$10)-Setup!$B$10))</f>
        <v/>
      </c>
      <c r="F530" s="47" t="str">
        <f>IF(OR(A530="",B530=""),"",MAX(0,B530-Setup!$B$10))</f>
        <v/>
      </c>
    </row>
    <row r="531" spans="1:6" ht="15" customHeight="1">
      <c r="A531" s="50"/>
      <c r="B531" s="51"/>
      <c r="C531" s="43"/>
      <c r="D531" s="52" t="str">
        <f t="shared" si="8"/>
        <v/>
      </c>
      <c r="E531" s="47" t="str">
        <f>IF(OR(A531="",B531=""),"",MAX(0,MIN(B531,Setup!$B$27+Setup!$B$10)-Setup!$B$10))</f>
        <v/>
      </c>
      <c r="F531" s="47" t="str">
        <f>IF(OR(A531="",B531=""),"",MAX(0,B531-Setup!$B$10))</f>
        <v/>
      </c>
    </row>
    <row r="532" spans="1:6" ht="15" customHeight="1">
      <c r="A532" s="50"/>
      <c r="B532" s="51"/>
      <c r="C532" s="43"/>
      <c r="D532" s="52" t="str">
        <f t="shared" si="8"/>
        <v/>
      </c>
      <c r="E532" s="47" t="str">
        <f>IF(OR(A532="",B532=""),"",MAX(0,MIN(B532,Setup!$B$27+Setup!$B$10)-Setup!$B$10))</f>
        <v/>
      </c>
      <c r="F532" s="47" t="str">
        <f>IF(OR(A532="",B532=""),"",MAX(0,B532-Setup!$B$10))</f>
        <v/>
      </c>
    </row>
    <row r="533" spans="1:6" ht="15" customHeight="1">
      <c r="A533" s="50"/>
      <c r="B533" s="51"/>
      <c r="C533" s="43"/>
      <c r="D533" s="52" t="str">
        <f t="shared" si="8"/>
        <v/>
      </c>
      <c r="E533" s="47" t="str">
        <f>IF(OR(A533="",B533=""),"",MAX(0,MIN(B533,Setup!$B$27+Setup!$B$10)-Setup!$B$10))</f>
        <v/>
      </c>
      <c r="F533" s="47" t="str">
        <f>IF(OR(A533="",B533=""),"",MAX(0,B533-Setup!$B$10))</f>
        <v/>
      </c>
    </row>
    <row r="534" spans="1:6" ht="15" customHeight="1">
      <c r="A534" s="50"/>
      <c r="B534" s="51"/>
      <c r="C534" s="43"/>
      <c r="D534" s="52" t="str">
        <f t="shared" si="8"/>
        <v/>
      </c>
      <c r="E534" s="47" t="str">
        <f>IF(OR(A534="",B534=""),"",MAX(0,MIN(B534,Setup!$B$27+Setup!$B$10)-Setup!$B$10))</f>
        <v/>
      </c>
      <c r="F534" s="47" t="str">
        <f>IF(OR(A534="",B534=""),"",MAX(0,B534-Setup!$B$10))</f>
        <v/>
      </c>
    </row>
    <row r="535" spans="1:6" ht="15" customHeight="1">
      <c r="A535" s="50"/>
      <c r="B535" s="51"/>
      <c r="C535" s="43"/>
      <c r="D535" s="52" t="str">
        <f t="shared" si="8"/>
        <v/>
      </c>
      <c r="E535" s="47" t="str">
        <f>IF(OR(A535="",B535=""),"",MAX(0,MIN(B535,Setup!$B$27+Setup!$B$10)-Setup!$B$10))</f>
        <v/>
      </c>
      <c r="F535" s="47" t="str">
        <f>IF(OR(A535="",B535=""),"",MAX(0,B535-Setup!$B$10))</f>
        <v/>
      </c>
    </row>
    <row r="536" spans="1:6" ht="15" customHeight="1">
      <c r="A536" s="50"/>
      <c r="B536" s="51"/>
      <c r="C536" s="43"/>
      <c r="D536" s="52" t="str">
        <f t="shared" si="8"/>
        <v/>
      </c>
      <c r="E536" s="47" t="str">
        <f>IF(OR(A536="",B536=""),"",MAX(0,MIN(B536,Setup!$B$27+Setup!$B$10)-Setup!$B$10))</f>
        <v/>
      </c>
      <c r="F536" s="47" t="str">
        <f>IF(OR(A536="",B536=""),"",MAX(0,B536-Setup!$B$10))</f>
        <v/>
      </c>
    </row>
    <row r="537" spans="1:6" ht="15" customHeight="1">
      <c r="A537" s="50"/>
      <c r="B537" s="51"/>
      <c r="C537" s="43"/>
      <c r="D537" s="52" t="str">
        <f t="shared" si="8"/>
        <v/>
      </c>
      <c r="E537" s="47" t="str">
        <f>IF(OR(A537="",B537=""),"",MAX(0,MIN(B537,Setup!$B$27+Setup!$B$10)-Setup!$B$10))</f>
        <v/>
      </c>
      <c r="F537" s="47" t="str">
        <f>IF(OR(A537="",B537=""),"",MAX(0,B537-Setup!$B$10))</f>
        <v/>
      </c>
    </row>
    <row r="538" spans="1:6" ht="15" customHeight="1">
      <c r="A538" s="50"/>
      <c r="B538" s="51"/>
      <c r="C538" s="43"/>
      <c r="D538" s="52" t="str">
        <f t="shared" si="8"/>
        <v/>
      </c>
      <c r="E538" s="47" t="str">
        <f>IF(OR(A538="",B538=""),"",MAX(0,MIN(B538,Setup!$B$27+Setup!$B$10)-Setup!$B$10))</f>
        <v/>
      </c>
      <c r="F538" s="47" t="str">
        <f>IF(OR(A538="",B538=""),"",MAX(0,B538-Setup!$B$10))</f>
        <v/>
      </c>
    </row>
    <row r="539" spans="1:6" ht="15" customHeight="1">
      <c r="A539" s="50"/>
      <c r="B539" s="51"/>
      <c r="C539" s="43"/>
      <c r="D539" s="52" t="str">
        <f t="shared" si="8"/>
        <v/>
      </c>
      <c r="E539" s="47" t="str">
        <f>IF(OR(A539="",B539=""),"",MAX(0,MIN(B539,Setup!$B$27+Setup!$B$10)-Setup!$B$10))</f>
        <v/>
      </c>
      <c r="F539" s="47" t="str">
        <f>IF(OR(A539="",B539=""),"",MAX(0,B539-Setup!$B$10))</f>
        <v/>
      </c>
    </row>
    <row r="540" spans="1:6" ht="15" customHeight="1">
      <c r="A540" s="50"/>
      <c r="B540" s="51"/>
      <c r="C540" s="43"/>
      <c r="D540" s="52" t="str">
        <f t="shared" si="8"/>
        <v/>
      </c>
      <c r="E540" s="47" t="str">
        <f>IF(OR(A540="",B540=""),"",MAX(0,MIN(B540,Setup!$B$27+Setup!$B$10)-Setup!$B$10))</f>
        <v/>
      </c>
      <c r="F540" s="47" t="str">
        <f>IF(OR(A540="",B540=""),"",MAX(0,B540-Setup!$B$10))</f>
        <v/>
      </c>
    </row>
    <row r="541" spans="1:6" ht="15" customHeight="1">
      <c r="A541" s="50"/>
      <c r="B541" s="51"/>
      <c r="C541" s="43"/>
      <c r="D541" s="52" t="str">
        <f t="shared" si="8"/>
        <v/>
      </c>
      <c r="E541" s="47" t="str">
        <f>IF(OR(A541="",B541=""),"",MAX(0,MIN(B541,Setup!$B$27+Setup!$B$10)-Setup!$B$10))</f>
        <v/>
      </c>
      <c r="F541" s="47" t="str">
        <f>IF(OR(A541="",B541=""),"",MAX(0,B541-Setup!$B$10))</f>
        <v/>
      </c>
    </row>
    <row r="542" spans="1:6" ht="15" customHeight="1">
      <c r="A542" s="50"/>
      <c r="B542" s="51"/>
      <c r="C542" s="43"/>
      <c r="D542" s="52" t="str">
        <f t="shared" si="8"/>
        <v/>
      </c>
      <c r="E542" s="47" t="str">
        <f>IF(OR(A542="",B542=""),"",MAX(0,MIN(B542,Setup!$B$27+Setup!$B$10)-Setup!$B$10))</f>
        <v/>
      </c>
      <c r="F542" s="47" t="str">
        <f>IF(OR(A542="",B542=""),"",MAX(0,B542-Setup!$B$10))</f>
        <v/>
      </c>
    </row>
    <row r="543" spans="1:6" ht="15" customHeight="1">
      <c r="A543" s="50"/>
      <c r="B543" s="51"/>
      <c r="C543" s="43"/>
      <c r="D543" s="52" t="str">
        <f t="shared" si="8"/>
        <v/>
      </c>
      <c r="E543" s="47" t="str">
        <f>IF(OR(A543="",B543=""),"",MAX(0,MIN(B543,Setup!$B$27+Setup!$B$10)-Setup!$B$10))</f>
        <v/>
      </c>
      <c r="F543" s="47" t="str">
        <f>IF(OR(A543="",B543=""),"",MAX(0,B543-Setup!$B$10))</f>
        <v/>
      </c>
    </row>
    <row r="544" spans="1:6" ht="15" customHeight="1">
      <c r="A544" s="50"/>
      <c r="B544" s="51"/>
      <c r="C544" s="43"/>
      <c r="D544" s="52" t="str">
        <f t="shared" si="8"/>
        <v/>
      </c>
      <c r="E544" s="47" t="str">
        <f>IF(OR(A544="",B544=""),"",MAX(0,MIN(B544,Setup!$B$27+Setup!$B$10)-Setup!$B$10))</f>
        <v/>
      </c>
      <c r="F544" s="47" t="str">
        <f>IF(OR(A544="",B544=""),"",MAX(0,B544-Setup!$B$10))</f>
        <v/>
      </c>
    </row>
    <row r="545" spans="1:6" ht="15" customHeight="1">
      <c r="A545" s="50"/>
      <c r="B545" s="51"/>
      <c r="C545" s="43"/>
      <c r="D545" s="52" t="str">
        <f t="shared" si="8"/>
        <v/>
      </c>
      <c r="E545" s="47" t="str">
        <f>IF(OR(A545="",B545=""),"",MAX(0,MIN(B545,Setup!$B$27+Setup!$B$10)-Setup!$B$10))</f>
        <v/>
      </c>
      <c r="F545" s="47" t="str">
        <f>IF(OR(A545="",B545=""),"",MAX(0,B545-Setup!$B$10))</f>
        <v/>
      </c>
    </row>
    <row r="546" spans="1:6" ht="15" customHeight="1">
      <c r="A546" s="50"/>
      <c r="B546" s="51"/>
      <c r="C546" s="43"/>
      <c r="D546" s="52" t="str">
        <f t="shared" si="8"/>
        <v/>
      </c>
      <c r="E546" s="47" t="str">
        <f>IF(OR(A546="",B546=""),"",MAX(0,MIN(B546,Setup!$B$27+Setup!$B$10)-Setup!$B$10))</f>
        <v/>
      </c>
      <c r="F546" s="47" t="str">
        <f>IF(OR(A546="",B546=""),"",MAX(0,B546-Setup!$B$10))</f>
        <v/>
      </c>
    </row>
    <row r="547" spans="1:6" ht="15" customHeight="1">
      <c r="A547" s="50"/>
      <c r="B547" s="51"/>
      <c r="C547" s="43"/>
      <c r="D547" s="52" t="str">
        <f t="shared" si="8"/>
        <v/>
      </c>
      <c r="E547" s="47" t="str">
        <f>IF(OR(A547="",B547=""),"",MAX(0,MIN(B547,Setup!$B$27+Setup!$B$10)-Setup!$B$10))</f>
        <v/>
      </c>
      <c r="F547" s="47" t="str">
        <f>IF(OR(A547="",B547=""),"",MAX(0,B547-Setup!$B$10))</f>
        <v/>
      </c>
    </row>
    <row r="548" spans="1:6" ht="15" customHeight="1">
      <c r="A548" s="50"/>
      <c r="B548" s="51"/>
      <c r="C548" s="43"/>
      <c r="D548" s="52" t="str">
        <f t="shared" si="8"/>
        <v/>
      </c>
      <c r="E548" s="47" t="str">
        <f>IF(OR(A548="",B548=""),"",MAX(0,MIN(B548,Setup!$B$27+Setup!$B$10)-Setup!$B$10))</f>
        <v/>
      </c>
      <c r="F548" s="47" t="str">
        <f>IF(OR(A548="",B548=""),"",MAX(0,B548-Setup!$B$10))</f>
        <v/>
      </c>
    </row>
    <row r="549" spans="1:6" ht="15" customHeight="1">
      <c r="A549" s="50"/>
      <c r="B549" s="51"/>
      <c r="C549" s="43"/>
      <c r="D549" s="52" t="str">
        <f t="shared" si="8"/>
        <v/>
      </c>
      <c r="E549" s="47" t="str">
        <f>IF(OR(A549="",B549=""),"",MAX(0,MIN(B549,Setup!$B$27+Setup!$B$10)-Setup!$B$10))</f>
        <v/>
      </c>
      <c r="F549" s="47" t="str">
        <f>IF(OR(A549="",B549=""),"",MAX(0,B549-Setup!$B$10))</f>
        <v/>
      </c>
    </row>
    <row r="550" spans="1:6" ht="15" customHeight="1">
      <c r="A550" s="50"/>
      <c r="B550" s="51"/>
      <c r="C550" s="43"/>
      <c r="D550" s="52" t="str">
        <f t="shared" si="8"/>
        <v/>
      </c>
      <c r="E550" s="47" t="str">
        <f>IF(OR(A550="",B550=""),"",MAX(0,MIN(B550,Setup!$B$27+Setup!$B$10)-Setup!$B$10))</f>
        <v/>
      </c>
      <c r="F550" s="47" t="str">
        <f>IF(OR(A550="",B550=""),"",MAX(0,B550-Setup!$B$10))</f>
        <v/>
      </c>
    </row>
    <row r="551" spans="1:6" ht="15" customHeight="1">
      <c r="A551" s="50"/>
      <c r="B551" s="51"/>
      <c r="C551" s="43"/>
      <c r="D551" s="52" t="str">
        <f t="shared" si="8"/>
        <v/>
      </c>
      <c r="E551" s="47" t="str">
        <f>IF(OR(A551="",B551=""),"",MAX(0,MIN(B551,Setup!$B$27+Setup!$B$10)-Setup!$B$10))</f>
        <v/>
      </c>
      <c r="F551" s="47" t="str">
        <f>IF(OR(A551="",B551=""),"",MAX(0,B551-Setup!$B$10))</f>
        <v/>
      </c>
    </row>
    <row r="552" spans="1:6" ht="15" customHeight="1">
      <c r="A552" s="50"/>
      <c r="B552" s="51"/>
      <c r="C552" s="43"/>
      <c r="D552" s="52" t="str">
        <f t="shared" si="8"/>
        <v/>
      </c>
      <c r="E552" s="47" t="str">
        <f>IF(OR(A552="",B552=""),"",MAX(0,MIN(B552,Setup!$B$27+Setup!$B$10)-Setup!$B$10))</f>
        <v/>
      </c>
      <c r="F552" s="47" t="str">
        <f>IF(OR(A552="",B552=""),"",MAX(0,B552-Setup!$B$10))</f>
        <v/>
      </c>
    </row>
    <row r="553" spans="1:6" ht="15" customHeight="1">
      <c r="A553" s="50"/>
      <c r="B553" s="51"/>
      <c r="C553" s="43"/>
      <c r="D553" s="52" t="str">
        <f t="shared" si="8"/>
        <v/>
      </c>
      <c r="E553" s="47" t="str">
        <f>IF(OR(A553="",B553=""),"",MAX(0,MIN(B553,Setup!$B$27+Setup!$B$10)-Setup!$B$10))</f>
        <v/>
      </c>
      <c r="F553" s="47" t="str">
        <f>IF(OR(A553="",B553=""),"",MAX(0,B553-Setup!$B$10))</f>
        <v/>
      </c>
    </row>
    <row r="554" spans="1:6" ht="15" customHeight="1">
      <c r="A554" s="50"/>
      <c r="B554" s="51"/>
      <c r="C554" s="43"/>
      <c r="D554" s="52" t="str">
        <f t="shared" si="8"/>
        <v/>
      </c>
      <c r="E554" s="47" t="str">
        <f>IF(OR(A554="",B554=""),"",MAX(0,MIN(B554,Setup!$B$27+Setup!$B$10)-Setup!$B$10))</f>
        <v/>
      </c>
      <c r="F554" s="47" t="str">
        <f>IF(OR(A554="",B554=""),"",MAX(0,B554-Setup!$B$10))</f>
        <v/>
      </c>
    </row>
    <row r="555" spans="1:6" ht="15" customHeight="1">
      <c r="A555" s="50"/>
      <c r="B555" s="51"/>
      <c r="C555" s="43"/>
      <c r="D555" s="52" t="str">
        <f t="shared" si="8"/>
        <v/>
      </c>
      <c r="E555" s="47" t="str">
        <f>IF(OR(A555="",B555=""),"",MAX(0,MIN(B555,Setup!$B$27+Setup!$B$10)-Setup!$B$10))</f>
        <v/>
      </c>
      <c r="F555" s="47" t="str">
        <f>IF(OR(A555="",B555=""),"",MAX(0,B555-Setup!$B$10))</f>
        <v/>
      </c>
    </row>
    <row r="556" spans="1:6" ht="15" customHeight="1">
      <c r="A556" s="50"/>
      <c r="B556" s="51"/>
      <c r="C556" s="43"/>
      <c r="D556" s="52" t="str">
        <f t="shared" si="8"/>
        <v/>
      </c>
      <c r="E556" s="47" t="str">
        <f>IF(OR(A556="",B556=""),"",MAX(0,MIN(B556,Setup!$B$27+Setup!$B$10)-Setup!$B$10))</f>
        <v/>
      </c>
      <c r="F556" s="47" t="str">
        <f>IF(OR(A556="",B556=""),"",MAX(0,B556-Setup!$B$10))</f>
        <v/>
      </c>
    </row>
    <row r="557" spans="1:6" ht="15" customHeight="1">
      <c r="A557" s="50"/>
      <c r="B557" s="51"/>
      <c r="C557" s="43"/>
      <c r="D557" s="52" t="str">
        <f t="shared" si="8"/>
        <v/>
      </c>
      <c r="E557" s="47" t="str">
        <f>IF(OR(A557="",B557=""),"",MAX(0,MIN(B557,Setup!$B$27+Setup!$B$10)-Setup!$B$10))</f>
        <v/>
      </c>
      <c r="F557" s="47" t="str">
        <f>IF(OR(A557="",B557=""),"",MAX(0,B557-Setup!$B$10))</f>
        <v/>
      </c>
    </row>
    <row r="558" spans="1:6" ht="15" customHeight="1">
      <c r="A558" s="50"/>
      <c r="B558" s="51"/>
      <c r="C558" s="43"/>
      <c r="D558" s="52" t="str">
        <f t="shared" si="8"/>
        <v/>
      </c>
      <c r="E558" s="47" t="str">
        <f>IF(OR(A558="",B558=""),"",MAX(0,MIN(B558,Setup!$B$27+Setup!$B$10)-Setup!$B$10))</f>
        <v/>
      </c>
      <c r="F558" s="47" t="str">
        <f>IF(OR(A558="",B558=""),"",MAX(0,B558-Setup!$B$10))</f>
        <v/>
      </c>
    </row>
    <row r="559" spans="1:6" ht="15" customHeight="1">
      <c r="A559" s="50"/>
      <c r="B559" s="51"/>
      <c r="C559" s="43"/>
      <c r="D559" s="52" t="str">
        <f t="shared" si="8"/>
        <v/>
      </c>
      <c r="E559" s="47" t="str">
        <f>IF(OR(A559="",B559=""),"",MAX(0,MIN(B559,Setup!$B$27+Setup!$B$10)-Setup!$B$10))</f>
        <v/>
      </c>
      <c r="F559" s="47" t="str">
        <f>IF(OR(A559="",B559=""),"",MAX(0,B559-Setup!$B$10))</f>
        <v/>
      </c>
    </row>
    <row r="560" spans="1:6" ht="15" customHeight="1">
      <c r="A560" s="50"/>
      <c r="B560" s="51"/>
      <c r="C560" s="43"/>
      <c r="D560" s="52" t="str">
        <f t="shared" si="8"/>
        <v/>
      </c>
      <c r="E560" s="47" t="str">
        <f>IF(OR(A560="",B560=""),"",MAX(0,MIN(B560,Setup!$B$27+Setup!$B$10)-Setup!$B$10))</f>
        <v/>
      </c>
      <c r="F560" s="47" t="str">
        <f>IF(OR(A560="",B560=""),"",MAX(0,B560-Setup!$B$10))</f>
        <v/>
      </c>
    </row>
    <row r="561" spans="1:6" ht="15" customHeight="1">
      <c r="A561" s="50"/>
      <c r="B561" s="51"/>
      <c r="C561" s="43"/>
      <c r="D561" s="52" t="str">
        <f t="shared" si="8"/>
        <v/>
      </c>
      <c r="E561" s="47" t="str">
        <f>IF(OR(A561="",B561=""),"",MAX(0,MIN(B561,Setup!$B$27+Setup!$B$10)-Setup!$B$10))</f>
        <v/>
      </c>
      <c r="F561" s="47" t="str">
        <f>IF(OR(A561="",B561=""),"",MAX(0,B561-Setup!$B$10))</f>
        <v/>
      </c>
    </row>
    <row r="562" spans="1:6" ht="15" customHeight="1">
      <c r="A562" s="50"/>
      <c r="B562" s="51"/>
      <c r="C562" s="43"/>
      <c r="D562" s="52" t="str">
        <f t="shared" si="8"/>
        <v/>
      </c>
      <c r="E562" s="47" t="str">
        <f>IF(OR(A562="",B562=""),"",MAX(0,MIN(B562,Setup!$B$27+Setup!$B$10)-Setup!$B$10))</f>
        <v/>
      </c>
      <c r="F562" s="47" t="str">
        <f>IF(OR(A562="",B562=""),"",MAX(0,B562-Setup!$B$10))</f>
        <v/>
      </c>
    </row>
    <row r="563" spans="1:6" ht="15" customHeight="1">
      <c r="A563" s="50"/>
      <c r="B563" s="51"/>
      <c r="C563" s="43"/>
      <c r="D563" s="52" t="str">
        <f t="shared" si="8"/>
        <v/>
      </c>
      <c r="E563" s="47" t="str">
        <f>IF(OR(A563="",B563=""),"",MAX(0,MIN(B563,Setup!$B$27+Setup!$B$10)-Setup!$B$10))</f>
        <v/>
      </c>
      <c r="F563" s="47" t="str">
        <f>IF(OR(A563="",B563=""),"",MAX(0,B563-Setup!$B$10))</f>
        <v/>
      </c>
    </row>
    <row r="564" spans="1:6" ht="15" customHeight="1">
      <c r="A564" s="50"/>
      <c r="B564" s="51"/>
      <c r="C564" s="43"/>
      <c r="D564" s="52" t="str">
        <f t="shared" si="8"/>
        <v/>
      </c>
      <c r="E564" s="47" t="str">
        <f>IF(OR(A564="",B564=""),"",MAX(0,MIN(B564,Setup!$B$27+Setup!$B$10)-Setup!$B$10))</f>
        <v/>
      </c>
      <c r="F564" s="47" t="str">
        <f>IF(OR(A564="",B564=""),"",MAX(0,B564-Setup!$B$10))</f>
        <v/>
      </c>
    </row>
    <row r="565" spans="1:6" ht="15" customHeight="1">
      <c r="A565" s="50"/>
      <c r="B565" s="51"/>
      <c r="C565" s="43"/>
      <c r="D565" s="52" t="str">
        <f t="shared" si="8"/>
        <v/>
      </c>
      <c r="E565" s="47" t="str">
        <f>IF(OR(A565="",B565=""),"",MAX(0,MIN(B565,Setup!$B$27+Setup!$B$10)-Setup!$B$10))</f>
        <v/>
      </c>
      <c r="F565" s="47" t="str">
        <f>IF(OR(A565="",B565=""),"",MAX(0,B565-Setup!$B$10))</f>
        <v/>
      </c>
    </row>
    <row r="566" spans="1:6" ht="15" customHeight="1">
      <c r="A566" s="50"/>
      <c r="B566" s="51"/>
      <c r="C566" s="43"/>
      <c r="D566" s="52" t="str">
        <f t="shared" si="8"/>
        <v/>
      </c>
      <c r="E566" s="47" t="str">
        <f>IF(OR(A566="",B566=""),"",MAX(0,MIN(B566,Setup!$B$27+Setup!$B$10)-Setup!$B$10))</f>
        <v/>
      </c>
      <c r="F566" s="47" t="str">
        <f>IF(OR(A566="",B566=""),"",MAX(0,B566-Setup!$B$10))</f>
        <v/>
      </c>
    </row>
    <row r="567" spans="1:6" ht="15" customHeight="1">
      <c r="A567" s="50"/>
      <c r="B567" s="51"/>
      <c r="C567" s="43"/>
      <c r="D567" s="52" t="str">
        <f t="shared" si="8"/>
        <v/>
      </c>
      <c r="E567" s="47" t="str">
        <f>IF(OR(A567="",B567=""),"",MAX(0,MIN(B567,Setup!$B$27+Setup!$B$10)-Setup!$B$10))</f>
        <v/>
      </c>
      <c r="F567" s="47" t="str">
        <f>IF(OR(A567="",B567=""),"",MAX(0,B567-Setup!$B$10))</f>
        <v/>
      </c>
    </row>
    <row r="568" spans="1:6" ht="15" customHeight="1">
      <c r="A568" s="50"/>
      <c r="B568" s="51"/>
      <c r="C568" s="43"/>
      <c r="D568" s="52" t="str">
        <f t="shared" si="8"/>
        <v/>
      </c>
      <c r="E568" s="47" t="str">
        <f>IF(OR(A568="",B568=""),"",MAX(0,MIN(B568,Setup!$B$27+Setup!$B$10)-Setup!$B$10))</f>
        <v/>
      </c>
      <c r="F568" s="47" t="str">
        <f>IF(OR(A568="",B568=""),"",MAX(0,B568-Setup!$B$10))</f>
        <v/>
      </c>
    </row>
    <row r="569" spans="1:6" ht="15" customHeight="1">
      <c r="A569" s="50"/>
      <c r="B569" s="51"/>
      <c r="C569" s="43"/>
      <c r="D569" s="52" t="str">
        <f t="shared" si="8"/>
        <v/>
      </c>
      <c r="E569" s="47" t="str">
        <f>IF(OR(A569="",B569=""),"",MAX(0,MIN(B569,Setup!$B$27+Setup!$B$10)-Setup!$B$10))</f>
        <v/>
      </c>
      <c r="F569" s="47" t="str">
        <f>IF(OR(A569="",B569=""),"",MAX(0,B569-Setup!$B$10))</f>
        <v/>
      </c>
    </row>
    <row r="570" spans="1:6" ht="15" customHeight="1">
      <c r="A570" s="50"/>
      <c r="B570" s="51"/>
      <c r="C570" s="43"/>
      <c r="D570" s="52" t="str">
        <f t="shared" si="8"/>
        <v/>
      </c>
      <c r="E570" s="47" t="str">
        <f>IF(OR(A570="",B570=""),"",MAX(0,MIN(B570,Setup!$B$27+Setup!$B$10)-Setup!$B$10))</f>
        <v/>
      </c>
      <c r="F570" s="47" t="str">
        <f>IF(OR(A570="",B570=""),"",MAX(0,B570-Setup!$B$10))</f>
        <v/>
      </c>
    </row>
    <row r="571" spans="1:6" ht="15" customHeight="1">
      <c r="A571" s="50"/>
      <c r="B571" s="51"/>
      <c r="C571" s="43"/>
      <c r="D571" s="52" t="str">
        <f t="shared" si="8"/>
        <v/>
      </c>
      <c r="E571" s="47" t="str">
        <f>IF(OR(A571="",B571=""),"",MAX(0,MIN(B571,Setup!$B$27+Setup!$B$10)-Setup!$B$10))</f>
        <v/>
      </c>
      <c r="F571" s="47" t="str">
        <f>IF(OR(A571="",B571=""),"",MAX(0,B571-Setup!$B$10))</f>
        <v/>
      </c>
    </row>
    <row r="572" spans="1:6" ht="15" customHeight="1">
      <c r="A572" s="50"/>
      <c r="B572" s="51"/>
      <c r="C572" s="43"/>
      <c r="D572" s="52" t="str">
        <f t="shared" si="8"/>
        <v/>
      </c>
      <c r="E572" s="47" t="str">
        <f>IF(OR(A572="",B572=""),"",MAX(0,MIN(B572,Setup!$B$27+Setup!$B$10)-Setup!$B$10))</f>
        <v/>
      </c>
      <c r="F572" s="47" t="str">
        <f>IF(OR(A572="",B572=""),"",MAX(0,B572-Setup!$B$10))</f>
        <v/>
      </c>
    </row>
    <row r="573" spans="1:6" ht="15" customHeight="1">
      <c r="A573" s="50"/>
      <c r="B573" s="51"/>
      <c r="C573" s="43"/>
      <c r="D573" s="52" t="str">
        <f t="shared" si="8"/>
        <v/>
      </c>
      <c r="E573" s="47" t="str">
        <f>IF(OR(A573="",B573=""),"",MAX(0,MIN(B573,Setup!$B$27+Setup!$B$10)-Setup!$B$10))</f>
        <v/>
      </c>
      <c r="F573" s="47" t="str">
        <f>IF(OR(A573="",B573=""),"",MAX(0,B573-Setup!$B$10))</f>
        <v/>
      </c>
    </row>
    <row r="574" spans="1:6" ht="15" customHeight="1">
      <c r="A574" s="50"/>
      <c r="B574" s="51"/>
      <c r="C574" s="43"/>
      <c r="D574" s="52" t="str">
        <f t="shared" si="8"/>
        <v/>
      </c>
      <c r="E574" s="47" t="str">
        <f>IF(OR(A574="",B574=""),"",MAX(0,MIN(B574,Setup!$B$27+Setup!$B$10)-Setup!$B$10))</f>
        <v/>
      </c>
      <c r="F574" s="47" t="str">
        <f>IF(OR(A574="",B574=""),"",MAX(0,B574-Setup!$B$10))</f>
        <v/>
      </c>
    </row>
    <row r="575" spans="1:6" ht="15" customHeight="1">
      <c r="A575" s="50"/>
      <c r="B575" s="51"/>
      <c r="C575" s="43"/>
      <c r="D575" s="52" t="str">
        <f t="shared" si="8"/>
        <v/>
      </c>
      <c r="E575" s="47" t="str">
        <f>IF(OR(A575="",B575=""),"",MAX(0,MIN(B575,Setup!$B$27+Setup!$B$10)-Setup!$B$10))</f>
        <v/>
      </c>
      <c r="F575" s="47" t="str">
        <f>IF(OR(A575="",B575=""),"",MAX(0,B575-Setup!$B$10))</f>
        <v/>
      </c>
    </row>
    <row r="576" spans="1:6" ht="15" customHeight="1">
      <c r="A576" s="50"/>
      <c r="B576" s="51"/>
      <c r="C576" s="43"/>
      <c r="D576" s="52" t="str">
        <f t="shared" si="8"/>
        <v/>
      </c>
      <c r="E576" s="47" t="str">
        <f>IF(OR(A576="",B576=""),"",MAX(0,MIN(B576,Setup!$B$27+Setup!$B$10)-Setup!$B$10))</f>
        <v/>
      </c>
      <c r="F576" s="47" t="str">
        <f>IF(OR(A576="",B576=""),"",MAX(0,B576-Setup!$B$10))</f>
        <v/>
      </c>
    </row>
    <row r="577" spans="1:6" ht="15" customHeight="1">
      <c r="A577" s="50"/>
      <c r="B577" s="51"/>
      <c r="C577" s="43"/>
      <c r="D577" s="52" t="str">
        <f t="shared" si="8"/>
        <v/>
      </c>
      <c r="E577" s="47" t="str">
        <f>IF(OR(A577="",B577=""),"",MAX(0,MIN(B577,Setup!$B$27+Setup!$B$10)-Setup!$B$10))</f>
        <v/>
      </c>
      <c r="F577" s="47" t="str">
        <f>IF(OR(A577="",B577=""),"",MAX(0,B577-Setup!$B$10))</f>
        <v/>
      </c>
    </row>
    <row r="578" spans="1:6" ht="15" customHeight="1">
      <c r="A578" s="50"/>
      <c r="B578" s="51"/>
      <c r="C578" s="43"/>
      <c r="D578" s="52" t="str">
        <f t="shared" si="8"/>
        <v/>
      </c>
      <c r="E578" s="47" t="str">
        <f>IF(OR(A578="",B578=""),"",MAX(0,MIN(B578,Setup!$B$27+Setup!$B$10)-Setup!$B$10))</f>
        <v/>
      </c>
      <c r="F578" s="47" t="str">
        <f>IF(OR(A578="",B578=""),"",MAX(0,B578-Setup!$B$10))</f>
        <v/>
      </c>
    </row>
    <row r="579" spans="1:6" ht="15" customHeight="1">
      <c r="A579" s="50"/>
      <c r="B579" s="51"/>
      <c r="C579" s="43"/>
      <c r="D579" s="52" t="str">
        <f t="shared" ref="D579:D642" si="9">IF(A579="","",YEAR(A579))</f>
        <v/>
      </c>
      <c r="E579" s="47" t="str">
        <f>IF(OR(A579="",B579=""),"",MAX(0,MIN(B579,Setup!$B$27+Setup!$B$10)-Setup!$B$10))</f>
        <v/>
      </c>
      <c r="F579" s="47" t="str">
        <f>IF(OR(A579="",B579=""),"",MAX(0,B579-Setup!$B$10))</f>
        <v/>
      </c>
    </row>
    <row r="580" spans="1:6" ht="15" customHeight="1">
      <c r="A580" s="50"/>
      <c r="B580" s="51"/>
      <c r="C580" s="43"/>
      <c r="D580" s="52" t="str">
        <f t="shared" si="9"/>
        <v/>
      </c>
      <c r="E580" s="47" t="str">
        <f>IF(OR(A580="",B580=""),"",MAX(0,MIN(B580,Setup!$B$27+Setup!$B$10)-Setup!$B$10))</f>
        <v/>
      </c>
      <c r="F580" s="47" t="str">
        <f>IF(OR(A580="",B580=""),"",MAX(0,B580-Setup!$B$10))</f>
        <v/>
      </c>
    </row>
    <row r="581" spans="1:6" ht="15" customHeight="1">
      <c r="A581" s="50"/>
      <c r="B581" s="51"/>
      <c r="C581" s="43"/>
      <c r="D581" s="52" t="str">
        <f t="shared" si="9"/>
        <v/>
      </c>
      <c r="E581" s="47" t="str">
        <f>IF(OR(A581="",B581=""),"",MAX(0,MIN(B581,Setup!$B$27+Setup!$B$10)-Setup!$B$10))</f>
        <v/>
      </c>
      <c r="F581" s="47" t="str">
        <f>IF(OR(A581="",B581=""),"",MAX(0,B581-Setup!$B$10))</f>
        <v/>
      </c>
    </row>
    <row r="582" spans="1:6" ht="15" customHeight="1">
      <c r="A582" s="50"/>
      <c r="B582" s="51"/>
      <c r="C582" s="43"/>
      <c r="D582" s="52" t="str">
        <f t="shared" si="9"/>
        <v/>
      </c>
      <c r="E582" s="47" t="str">
        <f>IF(OR(A582="",B582=""),"",MAX(0,MIN(B582,Setup!$B$27+Setup!$B$10)-Setup!$B$10))</f>
        <v/>
      </c>
      <c r="F582" s="47" t="str">
        <f>IF(OR(A582="",B582=""),"",MAX(0,B582-Setup!$B$10))</f>
        <v/>
      </c>
    </row>
    <row r="583" spans="1:6" ht="15" customHeight="1">
      <c r="A583" s="50"/>
      <c r="B583" s="51"/>
      <c r="C583" s="43"/>
      <c r="D583" s="52" t="str">
        <f t="shared" si="9"/>
        <v/>
      </c>
      <c r="E583" s="47" t="str">
        <f>IF(OR(A583="",B583=""),"",MAX(0,MIN(B583,Setup!$B$27+Setup!$B$10)-Setup!$B$10))</f>
        <v/>
      </c>
      <c r="F583" s="47" t="str">
        <f>IF(OR(A583="",B583=""),"",MAX(0,B583-Setup!$B$10))</f>
        <v/>
      </c>
    </row>
    <row r="584" spans="1:6" ht="15" customHeight="1">
      <c r="A584" s="50"/>
      <c r="B584" s="51"/>
      <c r="C584" s="43"/>
      <c r="D584" s="52" t="str">
        <f t="shared" si="9"/>
        <v/>
      </c>
      <c r="E584" s="47" t="str">
        <f>IF(OR(A584="",B584=""),"",MAX(0,MIN(B584,Setup!$B$27+Setup!$B$10)-Setup!$B$10))</f>
        <v/>
      </c>
      <c r="F584" s="47" t="str">
        <f>IF(OR(A584="",B584=""),"",MAX(0,B584-Setup!$B$10))</f>
        <v/>
      </c>
    </row>
    <row r="585" spans="1:6" ht="15" customHeight="1">
      <c r="A585" s="50"/>
      <c r="B585" s="51"/>
      <c r="C585" s="43"/>
      <c r="D585" s="52" t="str">
        <f t="shared" si="9"/>
        <v/>
      </c>
      <c r="E585" s="47" t="str">
        <f>IF(OR(A585="",B585=""),"",MAX(0,MIN(B585,Setup!$B$27+Setup!$B$10)-Setup!$B$10))</f>
        <v/>
      </c>
      <c r="F585" s="47" t="str">
        <f>IF(OR(A585="",B585=""),"",MAX(0,B585-Setup!$B$10))</f>
        <v/>
      </c>
    </row>
    <row r="586" spans="1:6" ht="15" customHeight="1">
      <c r="A586" s="50"/>
      <c r="B586" s="51"/>
      <c r="C586" s="43"/>
      <c r="D586" s="52" t="str">
        <f t="shared" si="9"/>
        <v/>
      </c>
      <c r="E586" s="47" t="str">
        <f>IF(OR(A586="",B586=""),"",MAX(0,MIN(B586,Setup!$B$27+Setup!$B$10)-Setup!$B$10))</f>
        <v/>
      </c>
      <c r="F586" s="47" t="str">
        <f>IF(OR(A586="",B586=""),"",MAX(0,B586-Setup!$B$10))</f>
        <v/>
      </c>
    </row>
    <row r="587" spans="1:6" ht="15" customHeight="1">
      <c r="A587" s="50"/>
      <c r="B587" s="51"/>
      <c r="C587" s="43"/>
      <c r="D587" s="52" t="str">
        <f t="shared" si="9"/>
        <v/>
      </c>
      <c r="E587" s="47" t="str">
        <f>IF(OR(A587="",B587=""),"",MAX(0,MIN(B587,Setup!$B$27+Setup!$B$10)-Setup!$B$10))</f>
        <v/>
      </c>
      <c r="F587" s="47" t="str">
        <f>IF(OR(A587="",B587=""),"",MAX(0,B587-Setup!$B$10))</f>
        <v/>
      </c>
    </row>
    <row r="588" spans="1:6" ht="15" customHeight="1">
      <c r="A588" s="50"/>
      <c r="B588" s="51"/>
      <c r="C588" s="43"/>
      <c r="D588" s="52" t="str">
        <f t="shared" si="9"/>
        <v/>
      </c>
      <c r="E588" s="47" t="str">
        <f>IF(OR(A588="",B588=""),"",MAX(0,MIN(B588,Setup!$B$27+Setup!$B$10)-Setup!$B$10))</f>
        <v/>
      </c>
      <c r="F588" s="47" t="str">
        <f>IF(OR(A588="",B588=""),"",MAX(0,B588-Setup!$B$10))</f>
        <v/>
      </c>
    </row>
    <row r="589" spans="1:6" ht="15" customHeight="1">
      <c r="A589" s="50"/>
      <c r="B589" s="51"/>
      <c r="C589" s="43"/>
      <c r="D589" s="52" t="str">
        <f t="shared" si="9"/>
        <v/>
      </c>
      <c r="E589" s="47" t="str">
        <f>IF(OR(A589="",B589=""),"",MAX(0,MIN(B589,Setup!$B$27+Setup!$B$10)-Setup!$B$10))</f>
        <v/>
      </c>
      <c r="F589" s="47" t="str">
        <f>IF(OR(A589="",B589=""),"",MAX(0,B589-Setup!$B$10))</f>
        <v/>
      </c>
    </row>
    <row r="590" spans="1:6" ht="15" customHeight="1">
      <c r="A590" s="50"/>
      <c r="B590" s="51"/>
      <c r="C590" s="43"/>
      <c r="D590" s="52" t="str">
        <f t="shared" si="9"/>
        <v/>
      </c>
      <c r="E590" s="47" t="str">
        <f>IF(OR(A590="",B590=""),"",MAX(0,MIN(B590,Setup!$B$27+Setup!$B$10)-Setup!$B$10))</f>
        <v/>
      </c>
      <c r="F590" s="47" t="str">
        <f>IF(OR(A590="",B590=""),"",MAX(0,B590-Setup!$B$10))</f>
        <v/>
      </c>
    </row>
    <row r="591" spans="1:6" ht="15" customHeight="1">
      <c r="A591" s="50"/>
      <c r="B591" s="51"/>
      <c r="C591" s="43"/>
      <c r="D591" s="52" t="str">
        <f t="shared" si="9"/>
        <v/>
      </c>
      <c r="E591" s="47" t="str">
        <f>IF(OR(A591="",B591=""),"",MAX(0,MIN(B591,Setup!$B$27+Setup!$B$10)-Setup!$B$10))</f>
        <v/>
      </c>
      <c r="F591" s="47" t="str">
        <f>IF(OR(A591="",B591=""),"",MAX(0,B591-Setup!$B$10))</f>
        <v/>
      </c>
    </row>
    <row r="592" spans="1:6" ht="15" customHeight="1">
      <c r="A592" s="50"/>
      <c r="B592" s="51"/>
      <c r="C592" s="43"/>
      <c r="D592" s="52" t="str">
        <f t="shared" si="9"/>
        <v/>
      </c>
      <c r="E592" s="47" t="str">
        <f>IF(OR(A592="",B592=""),"",MAX(0,MIN(B592,Setup!$B$27+Setup!$B$10)-Setup!$B$10))</f>
        <v/>
      </c>
      <c r="F592" s="47" t="str">
        <f>IF(OR(A592="",B592=""),"",MAX(0,B592-Setup!$B$10))</f>
        <v/>
      </c>
    </row>
    <row r="593" spans="1:6" ht="15" customHeight="1">
      <c r="A593" s="50"/>
      <c r="B593" s="51"/>
      <c r="C593" s="43"/>
      <c r="D593" s="52" t="str">
        <f t="shared" si="9"/>
        <v/>
      </c>
      <c r="E593" s="47" t="str">
        <f>IF(OR(A593="",B593=""),"",MAX(0,MIN(B593,Setup!$B$27+Setup!$B$10)-Setup!$B$10))</f>
        <v/>
      </c>
      <c r="F593" s="47" t="str">
        <f>IF(OR(A593="",B593=""),"",MAX(0,B593-Setup!$B$10))</f>
        <v/>
      </c>
    </row>
    <row r="594" spans="1:6" ht="15" customHeight="1">
      <c r="A594" s="50"/>
      <c r="B594" s="51"/>
      <c r="C594" s="43"/>
      <c r="D594" s="52" t="str">
        <f t="shared" si="9"/>
        <v/>
      </c>
      <c r="E594" s="47" t="str">
        <f>IF(OR(A594="",B594=""),"",MAX(0,MIN(B594,Setup!$B$27+Setup!$B$10)-Setup!$B$10))</f>
        <v/>
      </c>
      <c r="F594" s="47" t="str">
        <f>IF(OR(A594="",B594=""),"",MAX(0,B594-Setup!$B$10))</f>
        <v/>
      </c>
    </row>
    <row r="595" spans="1:6" ht="15" customHeight="1">
      <c r="A595" s="50"/>
      <c r="B595" s="51"/>
      <c r="C595" s="43"/>
      <c r="D595" s="52" t="str">
        <f t="shared" si="9"/>
        <v/>
      </c>
      <c r="E595" s="47" t="str">
        <f>IF(OR(A595="",B595=""),"",MAX(0,MIN(B595,Setup!$B$27+Setup!$B$10)-Setup!$B$10))</f>
        <v/>
      </c>
      <c r="F595" s="47" t="str">
        <f>IF(OR(A595="",B595=""),"",MAX(0,B595-Setup!$B$10))</f>
        <v/>
      </c>
    </row>
    <row r="596" spans="1:6" ht="15" customHeight="1">
      <c r="A596" s="50"/>
      <c r="B596" s="51"/>
      <c r="C596" s="43"/>
      <c r="D596" s="52" t="str">
        <f t="shared" si="9"/>
        <v/>
      </c>
      <c r="E596" s="47" t="str">
        <f>IF(OR(A596="",B596=""),"",MAX(0,MIN(B596,Setup!$B$27+Setup!$B$10)-Setup!$B$10))</f>
        <v/>
      </c>
      <c r="F596" s="47" t="str">
        <f>IF(OR(A596="",B596=""),"",MAX(0,B596-Setup!$B$10))</f>
        <v/>
      </c>
    </row>
    <row r="597" spans="1:6" ht="15" customHeight="1">
      <c r="A597" s="50"/>
      <c r="B597" s="51"/>
      <c r="C597" s="43"/>
      <c r="D597" s="52" t="str">
        <f t="shared" si="9"/>
        <v/>
      </c>
      <c r="E597" s="47" t="str">
        <f>IF(OR(A597="",B597=""),"",MAX(0,MIN(B597,Setup!$B$27+Setup!$B$10)-Setup!$B$10))</f>
        <v/>
      </c>
      <c r="F597" s="47" t="str">
        <f>IF(OR(A597="",B597=""),"",MAX(0,B597-Setup!$B$10))</f>
        <v/>
      </c>
    </row>
    <row r="598" spans="1:6" ht="15" customHeight="1">
      <c r="A598" s="50"/>
      <c r="B598" s="51"/>
      <c r="C598" s="43"/>
      <c r="D598" s="52" t="str">
        <f t="shared" si="9"/>
        <v/>
      </c>
      <c r="E598" s="47" t="str">
        <f>IF(OR(A598="",B598=""),"",MAX(0,MIN(B598,Setup!$B$27+Setup!$B$10)-Setup!$B$10))</f>
        <v/>
      </c>
      <c r="F598" s="47" t="str">
        <f>IF(OR(A598="",B598=""),"",MAX(0,B598-Setup!$B$10))</f>
        <v/>
      </c>
    </row>
    <row r="599" spans="1:6" ht="15" customHeight="1">
      <c r="A599" s="50"/>
      <c r="B599" s="51"/>
      <c r="C599" s="43"/>
      <c r="D599" s="52" t="str">
        <f t="shared" si="9"/>
        <v/>
      </c>
      <c r="E599" s="47" t="str">
        <f>IF(OR(A599="",B599=""),"",MAX(0,MIN(B599,Setup!$B$27+Setup!$B$10)-Setup!$B$10))</f>
        <v/>
      </c>
      <c r="F599" s="47" t="str">
        <f>IF(OR(A599="",B599=""),"",MAX(0,B599-Setup!$B$10))</f>
        <v/>
      </c>
    </row>
    <row r="600" spans="1:6" ht="15" customHeight="1">
      <c r="A600" s="50"/>
      <c r="B600" s="51"/>
      <c r="C600" s="43"/>
      <c r="D600" s="52" t="str">
        <f t="shared" si="9"/>
        <v/>
      </c>
      <c r="E600" s="47" t="str">
        <f>IF(OR(A600="",B600=""),"",MAX(0,MIN(B600,Setup!$B$27+Setup!$B$10)-Setup!$B$10))</f>
        <v/>
      </c>
      <c r="F600" s="47" t="str">
        <f>IF(OR(A600="",B600=""),"",MAX(0,B600-Setup!$B$10))</f>
        <v/>
      </c>
    </row>
    <row r="601" spans="1:6" ht="15" customHeight="1">
      <c r="A601" s="50"/>
      <c r="B601" s="51"/>
      <c r="C601" s="43"/>
      <c r="D601" s="52" t="str">
        <f t="shared" si="9"/>
        <v/>
      </c>
      <c r="E601" s="47" t="str">
        <f>IF(OR(A601="",B601=""),"",MAX(0,MIN(B601,Setup!$B$27+Setup!$B$10)-Setup!$B$10))</f>
        <v/>
      </c>
      <c r="F601" s="47" t="str">
        <f>IF(OR(A601="",B601=""),"",MAX(0,B601-Setup!$B$10))</f>
        <v/>
      </c>
    </row>
    <row r="602" spans="1:6" ht="15" customHeight="1">
      <c r="A602" s="50"/>
      <c r="B602" s="51"/>
      <c r="C602" s="43"/>
      <c r="D602" s="52" t="str">
        <f t="shared" si="9"/>
        <v/>
      </c>
      <c r="E602" s="47" t="str">
        <f>IF(OR(A602="",B602=""),"",MAX(0,MIN(B602,Setup!$B$27+Setup!$B$10)-Setup!$B$10))</f>
        <v/>
      </c>
      <c r="F602" s="47" t="str">
        <f>IF(OR(A602="",B602=""),"",MAX(0,B602-Setup!$B$10))</f>
        <v/>
      </c>
    </row>
    <row r="603" spans="1:6" ht="15" customHeight="1">
      <c r="A603" s="50"/>
      <c r="B603" s="51"/>
      <c r="C603" s="43"/>
      <c r="D603" s="52" t="str">
        <f t="shared" si="9"/>
        <v/>
      </c>
      <c r="E603" s="47" t="str">
        <f>IF(OR(A603="",B603=""),"",MAX(0,MIN(B603,Setup!$B$27+Setup!$B$10)-Setup!$B$10))</f>
        <v/>
      </c>
      <c r="F603" s="47" t="str">
        <f>IF(OR(A603="",B603=""),"",MAX(0,B603-Setup!$B$10))</f>
        <v/>
      </c>
    </row>
    <row r="604" spans="1:6" ht="15" customHeight="1">
      <c r="A604" s="50"/>
      <c r="B604" s="51"/>
      <c r="C604" s="43"/>
      <c r="D604" s="52" t="str">
        <f t="shared" si="9"/>
        <v/>
      </c>
      <c r="E604" s="47" t="str">
        <f>IF(OR(A604="",B604=""),"",MAX(0,MIN(B604,Setup!$B$27+Setup!$B$10)-Setup!$B$10))</f>
        <v/>
      </c>
      <c r="F604" s="47" t="str">
        <f>IF(OR(A604="",B604=""),"",MAX(0,B604-Setup!$B$10))</f>
        <v/>
      </c>
    </row>
    <row r="605" spans="1:6" ht="15" customHeight="1">
      <c r="A605" s="50"/>
      <c r="B605" s="51"/>
      <c r="C605" s="43"/>
      <c r="D605" s="52" t="str">
        <f t="shared" si="9"/>
        <v/>
      </c>
      <c r="E605" s="47" t="str">
        <f>IF(OR(A605="",B605=""),"",MAX(0,MIN(B605,Setup!$B$27+Setup!$B$10)-Setup!$B$10))</f>
        <v/>
      </c>
      <c r="F605" s="47" t="str">
        <f>IF(OR(A605="",B605=""),"",MAX(0,B605-Setup!$B$10))</f>
        <v/>
      </c>
    </row>
    <row r="606" spans="1:6" ht="15" customHeight="1">
      <c r="A606" s="50"/>
      <c r="B606" s="51"/>
      <c r="C606" s="43"/>
      <c r="D606" s="52" t="str">
        <f t="shared" si="9"/>
        <v/>
      </c>
      <c r="E606" s="47" t="str">
        <f>IF(OR(A606="",B606=""),"",MAX(0,MIN(B606,Setup!$B$27+Setup!$B$10)-Setup!$B$10))</f>
        <v/>
      </c>
      <c r="F606" s="47" t="str">
        <f>IF(OR(A606="",B606=""),"",MAX(0,B606-Setup!$B$10))</f>
        <v/>
      </c>
    </row>
    <row r="607" spans="1:6" ht="15" customHeight="1">
      <c r="A607" s="50"/>
      <c r="B607" s="51"/>
      <c r="C607" s="43"/>
      <c r="D607" s="52" t="str">
        <f t="shared" si="9"/>
        <v/>
      </c>
      <c r="E607" s="47" t="str">
        <f>IF(OR(A607="",B607=""),"",MAX(0,MIN(B607,Setup!$B$27+Setup!$B$10)-Setup!$B$10))</f>
        <v/>
      </c>
      <c r="F607" s="47" t="str">
        <f>IF(OR(A607="",B607=""),"",MAX(0,B607-Setup!$B$10))</f>
        <v/>
      </c>
    </row>
    <row r="608" spans="1:6" ht="15" customHeight="1">
      <c r="A608" s="50"/>
      <c r="B608" s="51"/>
      <c r="C608" s="43"/>
      <c r="D608" s="52" t="str">
        <f t="shared" si="9"/>
        <v/>
      </c>
      <c r="E608" s="47" t="str">
        <f>IF(OR(A608="",B608=""),"",MAX(0,MIN(B608,Setup!$B$27+Setup!$B$10)-Setup!$B$10))</f>
        <v/>
      </c>
      <c r="F608" s="47" t="str">
        <f>IF(OR(A608="",B608=""),"",MAX(0,B608-Setup!$B$10))</f>
        <v/>
      </c>
    </row>
    <row r="609" spans="1:6" ht="15" customHeight="1">
      <c r="A609" s="50"/>
      <c r="B609" s="51"/>
      <c r="C609" s="43"/>
      <c r="D609" s="52" t="str">
        <f t="shared" si="9"/>
        <v/>
      </c>
      <c r="E609" s="47" t="str">
        <f>IF(OR(A609="",B609=""),"",MAX(0,MIN(B609,Setup!$B$27+Setup!$B$10)-Setup!$B$10))</f>
        <v/>
      </c>
      <c r="F609" s="47" t="str">
        <f>IF(OR(A609="",B609=""),"",MAX(0,B609-Setup!$B$10))</f>
        <v/>
      </c>
    </row>
    <row r="610" spans="1:6" ht="15" customHeight="1">
      <c r="A610" s="50"/>
      <c r="B610" s="51"/>
      <c r="C610" s="43"/>
      <c r="D610" s="52" t="str">
        <f t="shared" si="9"/>
        <v/>
      </c>
      <c r="E610" s="47" t="str">
        <f>IF(OR(A610="",B610=""),"",MAX(0,MIN(B610,Setup!$B$27+Setup!$B$10)-Setup!$B$10))</f>
        <v/>
      </c>
      <c r="F610" s="47" t="str">
        <f>IF(OR(A610="",B610=""),"",MAX(0,B610-Setup!$B$10))</f>
        <v/>
      </c>
    </row>
    <row r="611" spans="1:6" ht="15" customHeight="1">
      <c r="A611" s="50"/>
      <c r="B611" s="51"/>
      <c r="C611" s="43"/>
      <c r="D611" s="52" t="str">
        <f t="shared" si="9"/>
        <v/>
      </c>
      <c r="E611" s="47" t="str">
        <f>IF(OR(A611="",B611=""),"",MAX(0,MIN(B611,Setup!$B$27+Setup!$B$10)-Setup!$B$10))</f>
        <v/>
      </c>
      <c r="F611" s="47" t="str">
        <f>IF(OR(A611="",B611=""),"",MAX(0,B611-Setup!$B$10))</f>
        <v/>
      </c>
    </row>
    <row r="612" spans="1:6" ht="15" customHeight="1">
      <c r="A612" s="50"/>
      <c r="B612" s="51"/>
      <c r="C612" s="43"/>
      <c r="D612" s="52" t="str">
        <f t="shared" si="9"/>
        <v/>
      </c>
      <c r="E612" s="47" t="str">
        <f>IF(OR(A612="",B612=""),"",MAX(0,MIN(B612,Setup!$B$27+Setup!$B$10)-Setup!$B$10))</f>
        <v/>
      </c>
      <c r="F612" s="47" t="str">
        <f>IF(OR(A612="",B612=""),"",MAX(0,B612-Setup!$B$10))</f>
        <v/>
      </c>
    </row>
    <row r="613" spans="1:6" ht="15" customHeight="1">
      <c r="A613" s="50"/>
      <c r="B613" s="51"/>
      <c r="C613" s="43"/>
      <c r="D613" s="52" t="str">
        <f t="shared" si="9"/>
        <v/>
      </c>
      <c r="E613" s="47" t="str">
        <f>IF(OR(A613="",B613=""),"",MAX(0,MIN(B613,Setup!$B$27+Setup!$B$10)-Setup!$B$10))</f>
        <v/>
      </c>
      <c r="F613" s="47" t="str">
        <f>IF(OR(A613="",B613=""),"",MAX(0,B613-Setup!$B$10))</f>
        <v/>
      </c>
    </row>
    <row r="614" spans="1:6" ht="15" customHeight="1">
      <c r="A614" s="50"/>
      <c r="B614" s="51"/>
      <c r="C614" s="43"/>
      <c r="D614" s="52" t="str">
        <f t="shared" si="9"/>
        <v/>
      </c>
      <c r="E614" s="47" t="str">
        <f>IF(OR(A614="",B614=""),"",MAX(0,MIN(B614,Setup!$B$27+Setup!$B$10)-Setup!$B$10))</f>
        <v/>
      </c>
      <c r="F614" s="47" t="str">
        <f>IF(OR(A614="",B614=""),"",MAX(0,B614-Setup!$B$10))</f>
        <v/>
      </c>
    </row>
    <row r="615" spans="1:6" ht="15" customHeight="1">
      <c r="A615" s="50"/>
      <c r="B615" s="51"/>
      <c r="C615" s="43"/>
      <c r="D615" s="52" t="str">
        <f t="shared" si="9"/>
        <v/>
      </c>
      <c r="E615" s="47" t="str">
        <f>IF(OR(A615="",B615=""),"",MAX(0,MIN(B615,Setup!$B$27+Setup!$B$10)-Setup!$B$10))</f>
        <v/>
      </c>
      <c r="F615" s="47" t="str">
        <f>IF(OR(A615="",B615=""),"",MAX(0,B615-Setup!$B$10))</f>
        <v/>
      </c>
    </row>
    <row r="616" spans="1:6" ht="15" customHeight="1">
      <c r="A616" s="50"/>
      <c r="B616" s="51"/>
      <c r="C616" s="43"/>
      <c r="D616" s="52" t="str">
        <f t="shared" si="9"/>
        <v/>
      </c>
      <c r="E616" s="47" t="str">
        <f>IF(OR(A616="",B616=""),"",MAX(0,MIN(B616,Setup!$B$27+Setup!$B$10)-Setup!$B$10))</f>
        <v/>
      </c>
      <c r="F616" s="47" t="str">
        <f>IF(OR(A616="",B616=""),"",MAX(0,B616-Setup!$B$10))</f>
        <v/>
      </c>
    </row>
    <row r="617" spans="1:6" ht="15" customHeight="1">
      <c r="A617" s="50"/>
      <c r="B617" s="51"/>
      <c r="C617" s="43"/>
      <c r="D617" s="52" t="str">
        <f t="shared" si="9"/>
        <v/>
      </c>
      <c r="E617" s="47" t="str">
        <f>IF(OR(A617="",B617=""),"",MAX(0,MIN(B617,Setup!$B$27+Setup!$B$10)-Setup!$B$10))</f>
        <v/>
      </c>
      <c r="F617" s="47" t="str">
        <f>IF(OR(A617="",B617=""),"",MAX(0,B617-Setup!$B$10))</f>
        <v/>
      </c>
    </row>
    <row r="618" spans="1:6" ht="15" customHeight="1">
      <c r="A618" s="50"/>
      <c r="B618" s="51"/>
      <c r="C618" s="43"/>
      <c r="D618" s="52" t="str">
        <f t="shared" si="9"/>
        <v/>
      </c>
      <c r="E618" s="47" t="str">
        <f>IF(OR(A618="",B618=""),"",MAX(0,MIN(B618,Setup!$B$27+Setup!$B$10)-Setup!$B$10))</f>
        <v/>
      </c>
      <c r="F618" s="47" t="str">
        <f>IF(OR(A618="",B618=""),"",MAX(0,B618-Setup!$B$10))</f>
        <v/>
      </c>
    </row>
    <row r="619" spans="1:6" ht="15" customHeight="1">
      <c r="A619" s="50"/>
      <c r="B619" s="51"/>
      <c r="C619" s="43"/>
      <c r="D619" s="52" t="str">
        <f t="shared" si="9"/>
        <v/>
      </c>
      <c r="E619" s="47" t="str">
        <f>IF(OR(A619="",B619=""),"",MAX(0,MIN(B619,Setup!$B$27+Setup!$B$10)-Setup!$B$10))</f>
        <v/>
      </c>
      <c r="F619" s="47" t="str">
        <f>IF(OR(A619="",B619=""),"",MAX(0,B619-Setup!$B$10))</f>
        <v/>
      </c>
    </row>
    <row r="620" spans="1:6" ht="15" customHeight="1">
      <c r="A620" s="50"/>
      <c r="B620" s="51"/>
      <c r="C620" s="43"/>
      <c r="D620" s="52" t="str">
        <f t="shared" si="9"/>
        <v/>
      </c>
      <c r="E620" s="47" t="str">
        <f>IF(OR(A620="",B620=""),"",MAX(0,MIN(B620,Setup!$B$27+Setup!$B$10)-Setup!$B$10))</f>
        <v/>
      </c>
      <c r="F620" s="47" t="str">
        <f>IF(OR(A620="",B620=""),"",MAX(0,B620-Setup!$B$10))</f>
        <v/>
      </c>
    </row>
    <row r="621" spans="1:6" ht="15" customHeight="1">
      <c r="A621" s="50"/>
      <c r="B621" s="51"/>
      <c r="C621" s="43"/>
      <c r="D621" s="52" t="str">
        <f t="shared" si="9"/>
        <v/>
      </c>
      <c r="E621" s="47" t="str">
        <f>IF(OR(A621="",B621=""),"",MAX(0,MIN(B621,Setup!$B$27+Setup!$B$10)-Setup!$B$10))</f>
        <v/>
      </c>
      <c r="F621" s="47" t="str">
        <f>IF(OR(A621="",B621=""),"",MAX(0,B621-Setup!$B$10))</f>
        <v/>
      </c>
    </row>
    <row r="622" spans="1:6" ht="15" customHeight="1">
      <c r="A622" s="50"/>
      <c r="B622" s="51"/>
      <c r="C622" s="43"/>
      <c r="D622" s="52" t="str">
        <f t="shared" si="9"/>
        <v/>
      </c>
      <c r="E622" s="47" t="str">
        <f>IF(OR(A622="",B622=""),"",MAX(0,MIN(B622,Setup!$B$27+Setup!$B$10)-Setup!$B$10))</f>
        <v/>
      </c>
      <c r="F622" s="47" t="str">
        <f>IF(OR(A622="",B622=""),"",MAX(0,B622-Setup!$B$10))</f>
        <v/>
      </c>
    </row>
    <row r="623" spans="1:6" ht="15" customHeight="1">
      <c r="A623" s="50"/>
      <c r="B623" s="51"/>
      <c r="C623" s="43"/>
      <c r="D623" s="52" t="str">
        <f t="shared" si="9"/>
        <v/>
      </c>
      <c r="E623" s="47" t="str">
        <f>IF(OR(A623="",B623=""),"",MAX(0,MIN(B623,Setup!$B$27+Setup!$B$10)-Setup!$B$10))</f>
        <v/>
      </c>
      <c r="F623" s="47" t="str">
        <f>IF(OR(A623="",B623=""),"",MAX(0,B623-Setup!$B$10))</f>
        <v/>
      </c>
    </row>
    <row r="624" spans="1:6" ht="15" customHeight="1">
      <c r="A624" s="50"/>
      <c r="B624" s="51"/>
      <c r="C624" s="43"/>
      <c r="D624" s="52" t="str">
        <f t="shared" si="9"/>
        <v/>
      </c>
      <c r="E624" s="47" t="str">
        <f>IF(OR(A624="",B624=""),"",MAX(0,MIN(B624,Setup!$B$27+Setup!$B$10)-Setup!$B$10))</f>
        <v/>
      </c>
      <c r="F624" s="47" t="str">
        <f>IF(OR(A624="",B624=""),"",MAX(0,B624-Setup!$B$10))</f>
        <v/>
      </c>
    </row>
    <row r="625" spans="1:6" ht="15" customHeight="1">
      <c r="A625" s="50"/>
      <c r="B625" s="51"/>
      <c r="C625" s="43"/>
      <c r="D625" s="52" t="str">
        <f t="shared" si="9"/>
        <v/>
      </c>
      <c r="E625" s="47" t="str">
        <f>IF(OR(A625="",B625=""),"",MAX(0,MIN(B625,Setup!$B$27+Setup!$B$10)-Setup!$B$10))</f>
        <v/>
      </c>
      <c r="F625" s="47" t="str">
        <f>IF(OR(A625="",B625=""),"",MAX(0,B625-Setup!$B$10))</f>
        <v/>
      </c>
    </row>
    <row r="626" spans="1:6" ht="15" customHeight="1">
      <c r="A626" s="50"/>
      <c r="B626" s="51"/>
      <c r="C626" s="43"/>
      <c r="D626" s="52" t="str">
        <f t="shared" si="9"/>
        <v/>
      </c>
      <c r="E626" s="47" t="str">
        <f>IF(OR(A626="",B626=""),"",MAX(0,MIN(B626,Setup!$B$27+Setup!$B$10)-Setup!$B$10))</f>
        <v/>
      </c>
      <c r="F626" s="47" t="str">
        <f>IF(OR(A626="",B626=""),"",MAX(0,B626-Setup!$B$10))</f>
        <v/>
      </c>
    </row>
    <row r="627" spans="1:6" ht="15" customHeight="1">
      <c r="A627" s="50"/>
      <c r="B627" s="51"/>
      <c r="C627" s="43"/>
      <c r="D627" s="52" t="str">
        <f t="shared" si="9"/>
        <v/>
      </c>
      <c r="E627" s="47" t="str">
        <f>IF(OR(A627="",B627=""),"",MAX(0,MIN(B627,Setup!$B$27+Setup!$B$10)-Setup!$B$10))</f>
        <v/>
      </c>
      <c r="F627" s="47" t="str">
        <f>IF(OR(A627="",B627=""),"",MAX(0,B627-Setup!$B$10))</f>
        <v/>
      </c>
    </row>
    <row r="628" spans="1:6" ht="15" customHeight="1">
      <c r="A628" s="50"/>
      <c r="B628" s="51"/>
      <c r="C628" s="43"/>
      <c r="D628" s="52" t="str">
        <f t="shared" si="9"/>
        <v/>
      </c>
      <c r="E628" s="47" t="str">
        <f>IF(OR(A628="",B628=""),"",MAX(0,MIN(B628,Setup!$B$27+Setup!$B$10)-Setup!$B$10))</f>
        <v/>
      </c>
      <c r="F628" s="47" t="str">
        <f>IF(OR(A628="",B628=""),"",MAX(0,B628-Setup!$B$10))</f>
        <v/>
      </c>
    </row>
    <row r="629" spans="1:6" ht="15" customHeight="1">
      <c r="A629" s="50"/>
      <c r="B629" s="51"/>
      <c r="C629" s="43"/>
      <c r="D629" s="52" t="str">
        <f t="shared" si="9"/>
        <v/>
      </c>
      <c r="E629" s="47" t="str">
        <f>IF(OR(A629="",B629=""),"",MAX(0,MIN(B629,Setup!$B$27+Setup!$B$10)-Setup!$B$10))</f>
        <v/>
      </c>
      <c r="F629" s="47" t="str">
        <f>IF(OR(A629="",B629=""),"",MAX(0,B629-Setup!$B$10))</f>
        <v/>
      </c>
    </row>
    <row r="630" spans="1:6" ht="15" customHeight="1">
      <c r="A630" s="51"/>
      <c r="B630" s="51"/>
      <c r="C630" s="43"/>
      <c r="D630" s="52" t="str">
        <f t="shared" si="9"/>
        <v/>
      </c>
      <c r="E630" s="47" t="str">
        <f>IF(OR(A630="",B630=""),"",MAX(0,MIN(B630,Setup!$B$27+Setup!$B$10)-Setup!$B$10))</f>
        <v/>
      </c>
      <c r="F630" s="47" t="str">
        <f>IF(OR(A630="",B630=""),"",MAX(0,B630-Setup!$B$10))</f>
        <v/>
      </c>
    </row>
    <row r="631" spans="1:6" ht="15" customHeight="1">
      <c r="A631" s="51"/>
      <c r="B631" s="51"/>
      <c r="C631" s="43"/>
      <c r="D631" s="52" t="str">
        <f t="shared" si="9"/>
        <v/>
      </c>
      <c r="E631" s="47" t="str">
        <f>IF(OR(A631="",B631=""),"",MAX(0,MIN(B631,Setup!$B$27+Setup!$B$10)-Setup!$B$10))</f>
        <v/>
      </c>
      <c r="F631" s="47" t="str">
        <f>IF(OR(A631="",B631=""),"",MAX(0,B631-Setup!$B$10))</f>
        <v/>
      </c>
    </row>
    <row r="632" spans="1:6" ht="15" customHeight="1">
      <c r="A632" s="51"/>
      <c r="B632" s="51"/>
      <c r="C632" s="43"/>
      <c r="D632" s="52" t="str">
        <f t="shared" si="9"/>
        <v/>
      </c>
      <c r="E632" s="47" t="str">
        <f>IF(OR(A632="",B632=""),"",MAX(0,MIN(B632,Setup!$B$27+Setup!$B$10)-Setup!$B$10))</f>
        <v/>
      </c>
      <c r="F632" s="47" t="str">
        <f>IF(OR(A632="",B632=""),"",MAX(0,B632-Setup!$B$10))</f>
        <v/>
      </c>
    </row>
    <row r="633" spans="1:6" ht="15" customHeight="1">
      <c r="A633" s="51"/>
      <c r="B633" s="51"/>
      <c r="C633" s="43"/>
      <c r="D633" s="52" t="str">
        <f t="shared" si="9"/>
        <v/>
      </c>
      <c r="E633" s="47" t="str">
        <f>IF(OR(A633="",B633=""),"",MAX(0,MIN(B633,Setup!$B$27+Setup!$B$10)-Setup!$B$10))</f>
        <v/>
      </c>
      <c r="F633" s="47" t="str">
        <f>IF(OR(A633="",B633=""),"",MAX(0,B633-Setup!$B$10))</f>
        <v/>
      </c>
    </row>
    <row r="634" spans="1:6" ht="15" customHeight="1">
      <c r="A634" s="51"/>
      <c r="B634" s="51"/>
      <c r="C634" s="43"/>
      <c r="D634" s="52" t="str">
        <f t="shared" si="9"/>
        <v/>
      </c>
      <c r="E634" s="47" t="str">
        <f>IF(OR(A634="",B634=""),"",MAX(0,MIN(B634,Setup!$B$27+Setup!$B$10)-Setup!$B$10))</f>
        <v/>
      </c>
      <c r="F634" s="47" t="str">
        <f>IF(OR(A634="",B634=""),"",MAX(0,B634-Setup!$B$10))</f>
        <v/>
      </c>
    </row>
    <row r="635" spans="1:6" ht="15" customHeight="1">
      <c r="A635" s="51"/>
      <c r="B635" s="51"/>
      <c r="C635" s="43"/>
      <c r="D635" s="52" t="str">
        <f t="shared" si="9"/>
        <v/>
      </c>
      <c r="E635" s="47" t="str">
        <f>IF(OR(A635="",B635=""),"",MAX(0,MIN(B635,Setup!$B$27+Setup!$B$10)-Setup!$B$10))</f>
        <v/>
      </c>
      <c r="F635" s="47" t="str">
        <f>IF(OR(A635="",B635=""),"",MAX(0,B635-Setup!$B$10))</f>
        <v/>
      </c>
    </row>
    <row r="636" spans="1:6" ht="15" customHeight="1">
      <c r="A636" s="51"/>
      <c r="B636" s="51"/>
      <c r="C636" s="43"/>
      <c r="D636" s="52" t="str">
        <f t="shared" si="9"/>
        <v/>
      </c>
      <c r="E636" s="47" t="str">
        <f>IF(OR(A636="",B636=""),"",MAX(0,MIN(B636,Setup!$B$27+Setup!$B$10)-Setup!$B$10))</f>
        <v/>
      </c>
      <c r="F636" s="47" t="str">
        <f>IF(OR(A636="",B636=""),"",MAX(0,B636-Setup!$B$10))</f>
        <v/>
      </c>
    </row>
    <row r="637" spans="1:6" ht="15" customHeight="1">
      <c r="A637" s="51"/>
      <c r="B637" s="51"/>
      <c r="C637" s="43"/>
      <c r="D637" s="52" t="str">
        <f t="shared" si="9"/>
        <v/>
      </c>
      <c r="E637" s="47" t="str">
        <f>IF(OR(A637="",B637=""),"",MAX(0,MIN(B637,Setup!$B$27+Setup!$B$10)-Setup!$B$10))</f>
        <v/>
      </c>
      <c r="F637" s="47" t="str">
        <f>IF(OR(A637="",B637=""),"",MAX(0,B637-Setup!$B$10))</f>
        <v/>
      </c>
    </row>
    <row r="638" spans="1:6" ht="15" customHeight="1">
      <c r="A638" s="51"/>
      <c r="B638" s="51"/>
      <c r="C638" s="43"/>
      <c r="D638" s="52" t="str">
        <f t="shared" si="9"/>
        <v/>
      </c>
      <c r="E638" s="47" t="str">
        <f>IF(OR(A638="",B638=""),"",MAX(0,MIN(B638,Setup!$B$27+Setup!$B$10)-Setup!$B$10))</f>
        <v/>
      </c>
      <c r="F638" s="47" t="str">
        <f>IF(OR(A638="",B638=""),"",MAX(0,B638-Setup!$B$10))</f>
        <v/>
      </c>
    </row>
    <row r="639" spans="1:6" ht="15" customHeight="1">
      <c r="A639" s="51"/>
      <c r="B639" s="51"/>
      <c r="C639" s="43"/>
      <c r="D639" s="52" t="str">
        <f t="shared" si="9"/>
        <v/>
      </c>
      <c r="E639" s="47" t="str">
        <f>IF(OR(A639="",B639=""),"",MAX(0,MIN(B639,Setup!$B$27+Setup!$B$10)-Setup!$B$10))</f>
        <v/>
      </c>
      <c r="F639" s="47" t="str">
        <f>IF(OR(A639="",B639=""),"",MAX(0,B639-Setup!$B$10))</f>
        <v/>
      </c>
    </row>
    <row r="640" spans="1:6" ht="15" customHeight="1">
      <c r="A640" s="51"/>
      <c r="B640" s="51"/>
      <c r="C640" s="43"/>
      <c r="D640" s="52" t="str">
        <f t="shared" si="9"/>
        <v/>
      </c>
      <c r="E640" s="47" t="str">
        <f>IF(OR(A640="",B640=""),"",MAX(0,MIN(B640,Setup!$B$27+Setup!$B$10)-Setup!$B$10))</f>
        <v/>
      </c>
      <c r="F640" s="47" t="str">
        <f>IF(OR(A640="",B640=""),"",MAX(0,B640-Setup!$B$10))</f>
        <v/>
      </c>
    </row>
    <row r="641" spans="1:6" ht="15" customHeight="1">
      <c r="A641" s="51"/>
      <c r="B641" s="51"/>
      <c r="C641" s="43"/>
      <c r="D641" s="52" t="str">
        <f t="shared" si="9"/>
        <v/>
      </c>
      <c r="E641" s="47" t="str">
        <f>IF(OR(A641="",B641=""),"",MAX(0,MIN(B641,Setup!$B$27+Setup!$B$10)-Setup!$B$10))</f>
        <v/>
      </c>
      <c r="F641" s="47" t="str">
        <f>IF(OR(A641="",B641=""),"",MAX(0,B641-Setup!$B$10))</f>
        <v/>
      </c>
    </row>
    <row r="642" spans="1:6" ht="15" customHeight="1">
      <c r="A642" s="51"/>
      <c r="B642" s="51"/>
      <c r="C642" s="43"/>
      <c r="D642" s="52" t="str">
        <f t="shared" si="9"/>
        <v/>
      </c>
      <c r="E642" s="47" t="str">
        <f>IF(OR(A642="",B642=""),"",MAX(0,MIN(B642,Setup!$B$27+Setup!$B$10)-Setup!$B$10))</f>
        <v/>
      </c>
      <c r="F642" s="47" t="str">
        <f>IF(OR(A642="",B642=""),"",MAX(0,B642-Setup!$B$10))</f>
        <v/>
      </c>
    </row>
    <row r="643" spans="1:6" ht="15" customHeight="1">
      <c r="A643" s="51"/>
      <c r="B643" s="51"/>
      <c r="C643" s="43"/>
      <c r="D643" s="52" t="str">
        <f t="shared" ref="D643:D706" si="10">IF(A643="","",YEAR(A643))</f>
        <v/>
      </c>
      <c r="E643" s="47" t="str">
        <f>IF(OR(A643="",B643=""),"",MAX(0,MIN(B643,Setup!$B$27+Setup!$B$10)-Setup!$B$10))</f>
        <v/>
      </c>
      <c r="F643" s="47" t="str">
        <f>IF(OR(A643="",B643=""),"",MAX(0,B643-Setup!$B$10))</f>
        <v/>
      </c>
    </row>
    <row r="644" spans="1:6" ht="15" customHeight="1">
      <c r="A644" s="51"/>
      <c r="B644" s="51"/>
      <c r="C644" s="43"/>
      <c r="D644" s="52" t="str">
        <f t="shared" si="10"/>
        <v/>
      </c>
      <c r="E644" s="47" t="str">
        <f>IF(OR(A644="",B644=""),"",MAX(0,MIN(B644,Setup!$B$27+Setup!$B$10)-Setup!$B$10))</f>
        <v/>
      </c>
      <c r="F644" s="47" t="str">
        <f>IF(OR(A644="",B644=""),"",MAX(0,B644-Setup!$B$10))</f>
        <v/>
      </c>
    </row>
    <row r="645" spans="1:6" ht="15" customHeight="1">
      <c r="A645" s="51"/>
      <c r="B645" s="51"/>
      <c r="C645" s="43"/>
      <c r="D645" s="52" t="str">
        <f t="shared" si="10"/>
        <v/>
      </c>
      <c r="E645" s="47" t="str">
        <f>IF(OR(A645="",B645=""),"",MAX(0,MIN(B645,Setup!$B$27+Setup!$B$10)-Setup!$B$10))</f>
        <v/>
      </c>
      <c r="F645" s="47" t="str">
        <f>IF(OR(A645="",B645=""),"",MAX(0,B645-Setup!$B$10))</f>
        <v/>
      </c>
    </row>
    <row r="646" spans="1:6" ht="15" customHeight="1">
      <c r="A646" s="51"/>
      <c r="B646" s="51"/>
      <c r="C646" s="43"/>
      <c r="D646" s="52" t="str">
        <f t="shared" si="10"/>
        <v/>
      </c>
      <c r="E646" s="47" t="str">
        <f>IF(OR(A646="",B646=""),"",MAX(0,MIN(B646,Setup!$B$27+Setup!$B$10)-Setup!$B$10))</f>
        <v/>
      </c>
      <c r="F646" s="47" t="str">
        <f>IF(OR(A646="",B646=""),"",MAX(0,B646-Setup!$B$10))</f>
        <v/>
      </c>
    </row>
    <row r="647" spans="1:6" ht="15" customHeight="1">
      <c r="A647" s="51"/>
      <c r="B647" s="51"/>
      <c r="C647" s="43"/>
      <c r="D647" s="52" t="str">
        <f t="shared" si="10"/>
        <v/>
      </c>
      <c r="E647" s="47" t="str">
        <f>IF(OR(A647="",B647=""),"",MAX(0,MIN(B647,Setup!$B$27+Setup!$B$10)-Setup!$B$10))</f>
        <v/>
      </c>
      <c r="F647" s="47" t="str">
        <f>IF(OR(A647="",B647=""),"",MAX(0,B647-Setup!$B$10))</f>
        <v/>
      </c>
    </row>
    <row r="648" spans="1:6" ht="15" customHeight="1">
      <c r="A648" s="51"/>
      <c r="B648" s="51"/>
      <c r="C648" s="43"/>
      <c r="D648" s="52" t="str">
        <f t="shared" si="10"/>
        <v/>
      </c>
      <c r="E648" s="47" t="str">
        <f>IF(OR(A648="",B648=""),"",MAX(0,MIN(B648,Setup!$B$27+Setup!$B$10)-Setup!$B$10))</f>
        <v/>
      </c>
      <c r="F648" s="47" t="str">
        <f>IF(OR(A648="",B648=""),"",MAX(0,B648-Setup!$B$10))</f>
        <v/>
      </c>
    </row>
    <row r="649" spans="1:6" ht="15" customHeight="1">
      <c r="A649" s="51"/>
      <c r="B649" s="51"/>
      <c r="C649" s="43"/>
      <c r="D649" s="52" t="str">
        <f t="shared" si="10"/>
        <v/>
      </c>
      <c r="E649" s="47" t="str">
        <f>IF(OR(A649="",B649=""),"",MAX(0,MIN(B649,Setup!$B$27+Setup!$B$10)-Setup!$B$10))</f>
        <v/>
      </c>
      <c r="F649" s="47" t="str">
        <f>IF(OR(A649="",B649=""),"",MAX(0,B649-Setup!$B$10))</f>
        <v/>
      </c>
    </row>
    <row r="650" spans="1:6" ht="15" customHeight="1">
      <c r="A650" s="51"/>
      <c r="B650" s="51"/>
      <c r="C650" s="43"/>
      <c r="D650" s="52" t="str">
        <f t="shared" si="10"/>
        <v/>
      </c>
      <c r="E650" s="47" t="str">
        <f>IF(OR(A650="",B650=""),"",MAX(0,MIN(B650,Setup!$B$27+Setup!$B$10)-Setup!$B$10))</f>
        <v/>
      </c>
      <c r="F650" s="47" t="str">
        <f>IF(OR(A650="",B650=""),"",MAX(0,B650-Setup!$B$10))</f>
        <v/>
      </c>
    </row>
    <row r="651" spans="1:6" ht="15" customHeight="1">
      <c r="A651" s="51"/>
      <c r="B651" s="51"/>
      <c r="C651" s="43"/>
      <c r="D651" s="52" t="str">
        <f t="shared" si="10"/>
        <v/>
      </c>
      <c r="E651" s="47" t="str">
        <f>IF(OR(A651="",B651=""),"",MAX(0,MIN(B651,Setup!$B$27+Setup!$B$10)-Setup!$B$10))</f>
        <v/>
      </c>
      <c r="F651" s="47" t="str">
        <f>IF(OR(A651="",B651=""),"",MAX(0,B651-Setup!$B$10))</f>
        <v/>
      </c>
    </row>
    <row r="652" spans="1:6" ht="15" customHeight="1">
      <c r="A652" s="51"/>
      <c r="B652" s="51"/>
      <c r="C652" s="43"/>
      <c r="D652" s="52" t="str">
        <f t="shared" si="10"/>
        <v/>
      </c>
      <c r="E652" s="47" t="str">
        <f>IF(OR(A652="",B652=""),"",MAX(0,MIN(B652,Setup!$B$27+Setup!$B$10)-Setup!$B$10))</f>
        <v/>
      </c>
      <c r="F652" s="47" t="str">
        <f>IF(OR(A652="",B652=""),"",MAX(0,B652-Setup!$B$10))</f>
        <v/>
      </c>
    </row>
    <row r="653" spans="1:6" ht="15" customHeight="1">
      <c r="A653" s="51"/>
      <c r="B653" s="51"/>
      <c r="C653" s="43"/>
      <c r="D653" s="52" t="str">
        <f t="shared" si="10"/>
        <v/>
      </c>
      <c r="E653" s="47" t="str">
        <f>IF(OR(A653="",B653=""),"",MAX(0,MIN(B653,Setup!$B$27+Setup!$B$10)-Setup!$B$10))</f>
        <v/>
      </c>
      <c r="F653" s="47" t="str">
        <f>IF(OR(A653="",B653=""),"",MAX(0,B653-Setup!$B$10))</f>
        <v/>
      </c>
    </row>
    <row r="654" spans="1:6" ht="15" customHeight="1">
      <c r="A654" s="51"/>
      <c r="B654" s="51"/>
      <c r="C654" s="43"/>
      <c r="D654" s="52" t="str">
        <f t="shared" si="10"/>
        <v/>
      </c>
      <c r="E654" s="47" t="str">
        <f>IF(OR(A654="",B654=""),"",MAX(0,MIN(B654,Setup!$B$27+Setup!$B$10)-Setup!$B$10))</f>
        <v/>
      </c>
      <c r="F654" s="47" t="str">
        <f>IF(OR(A654="",B654=""),"",MAX(0,B654-Setup!$B$10))</f>
        <v/>
      </c>
    </row>
    <row r="655" spans="1:6" ht="15" customHeight="1">
      <c r="A655" s="51"/>
      <c r="B655" s="51"/>
      <c r="C655" s="43"/>
      <c r="D655" s="52" t="str">
        <f t="shared" si="10"/>
        <v/>
      </c>
      <c r="E655" s="47" t="str">
        <f>IF(OR(A655="",B655=""),"",MAX(0,MIN(B655,Setup!$B$27+Setup!$B$10)-Setup!$B$10))</f>
        <v/>
      </c>
      <c r="F655" s="47" t="str">
        <f>IF(OR(A655="",B655=""),"",MAX(0,B655-Setup!$B$10))</f>
        <v/>
      </c>
    </row>
    <row r="656" spans="1:6" ht="15" customHeight="1">
      <c r="A656" s="51"/>
      <c r="B656" s="51"/>
      <c r="C656" s="43"/>
      <c r="D656" s="52" t="str">
        <f t="shared" si="10"/>
        <v/>
      </c>
      <c r="E656" s="47" t="str">
        <f>IF(OR(A656="",B656=""),"",MAX(0,MIN(B656,Setup!$B$27+Setup!$B$10)-Setup!$B$10))</f>
        <v/>
      </c>
      <c r="F656" s="47" t="str">
        <f>IF(OR(A656="",B656=""),"",MAX(0,B656-Setup!$B$10))</f>
        <v/>
      </c>
    </row>
    <row r="657" spans="1:6" ht="15" customHeight="1">
      <c r="A657" s="51"/>
      <c r="B657" s="51"/>
      <c r="C657" s="43"/>
      <c r="D657" s="52" t="str">
        <f t="shared" si="10"/>
        <v/>
      </c>
      <c r="E657" s="47" t="str">
        <f>IF(OR(A657="",B657=""),"",MAX(0,MIN(B657,Setup!$B$27+Setup!$B$10)-Setup!$B$10))</f>
        <v/>
      </c>
      <c r="F657" s="47" t="str">
        <f>IF(OR(A657="",B657=""),"",MAX(0,B657-Setup!$B$10))</f>
        <v/>
      </c>
    </row>
    <row r="658" spans="1:6" ht="15" customHeight="1">
      <c r="A658" s="51"/>
      <c r="B658" s="51"/>
      <c r="C658" s="43"/>
      <c r="D658" s="52" t="str">
        <f t="shared" si="10"/>
        <v/>
      </c>
      <c r="E658" s="47" t="str">
        <f>IF(OR(A658="",B658=""),"",MAX(0,MIN(B658,Setup!$B$27+Setup!$B$10)-Setup!$B$10))</f>
        <v/>
      </c>
      <c r="F658" s="47" t="str">
        <f>IF(OR(A658="",B658=""),"",MAX(0,B658-Setup!$B$10))</f>
        <v/>
      </c>
    </row>
    <row r="659" spans="1:6" ht="15" customHeight="1">
      <c r="A659" s="51"/>
      <c r="B659" s="51"/>
      <c r="C659" s="43"/>
      <c r="D659" s="52" t="str">
        <f t="shared" si="10"/>
        <v/>
      </c>
      <c r="E659" s="47" t="str">
        <f>IF(OR(A659="",B659=""),"",MAX(0,MIN(B659,Setup!$B$27+Setup!$B$10)-Setup!$B$10))</f>
        <v/>
      </c>
      <c r="F659" s="47" t="str">
        <f>IF(OR(A659="",B659=""),"",MAX(0,B659-Setup!$B$10))</f>
        <v/>
      </c>
    </row>
    <row r="660" spans="1:6" ht="15" customHeight="1">
      <c r="A660" s="51"/>
      <c r="B660" s="51"/>
      <c r="C660" s="43"/>
      <c r="D660" s="52" t="str">
        <f t="shared" si="10"/>
        <v/>
      </c>
      <c r="E660" s="47" t="str">
        <f>IF(OR(A660="",B660=""),"",MAX(0,MIN(B660,Setup!$B$27+Setup!$B$10)-Setup!$B$10))</f>
        <v/>
      </c>
      <c r="F660" s="47" t="str">
        <f>IF(OR(A660="",B660=""),"",MAX(0,B660-Setup!$B$10))</f>
        <v/>
      </c>
    </row>
    <row r="661" spans="1:6" ht="15" customHeight="1">
      <c r="A661" s="51"/>
      <c r="B661" s="51"/>
      <c r="C661" s="43"/>
      <c r="D661" s="52" t="str">
        <f t="shared" si="10"/>
        <v/>
      </c>
      <c r="E661" s="47" t="str">
        <f>IF(OR(A661="",B661=""),"",MAX(0,MIN(B661,Setup!$B$27+Setup!$B$10)-Setup!$B$10))</f>
        <v/>
      </c>
      <c r="F661" s="47" t="str">
        <f>IF(OR(A661="",B661=""),"",MAX(0,B661-Setup!$B$10))</f>
        <v/>
      </c>
    </row>
    <row r="662" spans="1:6" ht="15" customHeight="1">
      <c r="A662" s="51"/>
      <c r="B662" s="51"/>
      <c r="C662" s="43"/>
      <c r="D662" s="52" t="str">
        <f t="shared" si="10"/>
        <v/>
      </c>
      <c r="E662" s="47" t="str">
        <f>IF(OR(A662="",B662=""),"",MAX(0,MIN(B662,Setup!$B$27+Setup!$B$10)-Setup!$B$10))</f>
        <v/>
      </c>
      <c r="F662" s="47" t="str">
        <f>IF(OR(A662="",B662=""),"",MAX(0,B662-Setup!$B$10))</f>
        <v/>
      </c>
    </row>
    <row r="663" spans="1:6" ht="15" customHeight="1">
      <c r="A663" s="51"/>
      <c r="B663" s="51"/>
      <c r="C663" s="43"/>
      <c r="D663" s="52" t="str">
        <f t="shared" si="10"/>
        <v/>
      </c>
      <c r="E663" s="47" t="str">
        <f>IF(OR(A663="",B663=""),"",MAX(0,MIN(B663,Setup!$B$27+Setup!$B$10)-Setup!$B$10))</f>
        <v/>
      </c>
      <c r="F663" s="47" t="str">
        <f>IF(OR(A663="",B663=""),"",MAX(0,B663-Setup!$B$10))</f>
        <v/>
      </c>
    </row>
    <row r="664" spans="1:6" ht="15" customHeight="1">
      <c r="A664" s="51"/>
      <c r="B664" s="51"/>
      <c r="C664" s="43"/>
      <c r="D664" s="52" t="str">
        <f t="shared" si="10"/>
        <v/>
      </c>
      <c r="E664" s="47" t="str">
        <f>IF(OR(A664="",B664=""),"",MAX(0,MIN(B664,Setup!$B$27+Setup!$B$10)-Setup!$B$10))</f>
        <v/>
      </c>
      <c r="F664" s="47" t="str">
        <f>IF(OR(A664="",B664=""),"",MAX(0,B664-Setup!$B$10))</f>
        <v/>
      </c>
    </row>
    <row r="665" spans="1:6" ht="15" customHeight="1">
      <c r="A665" s="51"/>
      <c r="B665" s="51"/>
      <c r="C665" s="43"/>
      <c r="D665" s="52" t="str">
        <f t="shared" si="10"/>
        <v/>
      </c>
      <c r="E665" s="47" t="str">
        <f>IF(OR(A665="",B665=""),"",MAX(0,MIN(B665,Setup!$B$27+Setup!$B$10)-Setup!$B$10))</f>
        <v/>
      </c>
      <c r="F665" s="47" t="str">
        <f>IF(OR(A665="",B665=""),"",MAX(0,B665-Setup!$B$10))</f>
        <v/>
      </c>
    </row>
    <row r="666" spans="1:6" ht="15" customHeight="1">
      <c r="A666" s="51"/>
      <c r="B666" s="51"/>
      <c r="C666" s="43"/>
      <c r="D666" s="52" t="str">
        <f t="shared" si="10"/>
        <v/>
      </c>
      <c r="E666" s="47" t="str">
        <f>IF(OR(A666="",B666=""),"",MAX(0,MIN(B666,Setup!$B$27+Setup!$B$10)-Setup!$B$10))</f>
        <v/>
      </c>
      <c r="F666" s="47" t="str">
        <f>IF(OR(A666="",B666=""),"",MAX(0,B666-Setup!$B$10))</f>
        <v/>
      </c>
    </row>
    <row r="667" spans="1:6" ht="15" customHeight="1">
      <c r="A667" s="51"/>
      <c r="B667" s="51"/>
      <c r="C667" s="43"/>
      <c r="D667" s="52" t="str">
        <f t="shared" si="10"/>
        <v/>
      </c>
      <c r="E667" s="47" t="str">
        <f>IF(OR(A667="",B667=""),"",MAX(0,MIN(B667,Setup!$B$27+Setup!$B$10)-Setup!$B$10))</f>
        <v/>
      </c>
      <c r="F667" s="47" t="str">
        <f>IF(OR(A667="",B667=""),"",MAX(0,B667-Setup!$B$10))</f>
        <v/>
      </c>
    </row>
    <row r="668" spans="1:6" ht="15" customHeight="1">
      <c r="A668" s="51"/>
      <c r="B668" s="51"/>
      <c r="C668" s="43"/>
      <c r="D668" s="52" t="str">
        <f t="shared" si="10"/>
        <v/>
      </c>
      <c r="E668" s="47" t="str">
        <f>IF(OR(A668="",B668=""),"",MAX(0,MIN(B668,Setup!$B$27+Setup!$B$10)-Setup!$B$10))</f>
        <v/>
      </c>
      <c r="F668" s="47" t="str">
        <f>IF(OR(A668="",B668=""),"",MAX(0,B668-Setup!$B$10))</f>
        <v/>
      </c>
    </row>
    <row r="669" spans="1:6" ht="15" customHeight="1">
      <c r="A669" s="51"/>
      <c r="B669" s="51"/>
      <c r="C669" s="43"/>
      <c r="D669" s="52" t="str">
        <f t="shared" si="10"/>
        <v/>
      </c>
      <c r="E669" s="47" t="str">
        <f>IF(OR(A669="",B669=""),"",MAX(0,MIN(B669,Setup!$B$27+Setup!$B$10)-Setup!$B$10))</f>
        <v/>
      </c>
      <c r="F669" s="47" t="str">
        <f>IF(OR(A669="",B669=""),"",MAX(0,B669-Setup!$B$10))</f>
        <v/>
      </c>
    </row>
    <row r="670" spans="1:6" ht="15" customHeight="1">
      <c r="A670" s="51"/>
      <c r="B670" s="51"/>
      <c r="C670" s="43"/>
      <c r="D670" s="52" t="str">
        <f t="shared" si="10"/>
        <v/>
      </c>
      <c r="E670" s="47" t="str">
        <f>IF(OR(A670="",B670=""),"",MAX(0,MIN(B670,Setup!$B$27+Setup!$B$10)-Setup!$B$10))</f>
        <v/>
      </c>
      <c r="F670" s="47" t="str">
        <f>IF(OR(A670="",B670=""),"",MAX(0,B670-Setup!$B$10))</f>
        <v/>
      </c>
    </row>
    <row r="671" spans="1:6" ht="15" customHeight="1">
      <c r="A671" s="51"/>
      <c r="B671" s="51"/>
      <c r="C671" s="43"/>
      <c r="D671" s="52" t="str">
        <f t="shared" si="10"/>
        <v/>
      </c>
      <c r="E671" s="47" t="str">
        <f>IF(OR(A671="",B671=""),"",MAX(0,MIN(B671,Setup!$B$27+Setup!$B$10)-Setup!$B$10))</f>
        <v/>
      </c>
      <c r="F671" s="47" t="str">
        <f>IF(OR(A671="",B671=""),"",MAX(0,B671-Setup!$B$10))</f>
        <v/>
      </c>
    </row>
    <row r="672" spans="1:6" ht="15" customHeight="1">
      <c r="A672" s="51"/>
      <c r="B672" s="51"/>
      <c r="C672" s="43"/>
      <c r="D672" s="52" t="str">
        <f t="shared" si="10"/>
        <v/>
      </c>
      <c r="E672" s="47" t="str">
        <f>IF(OR(A672="",B672=""),"",MAX(0,MIN(B672,Setup!$B$27+Setup!$B$10)-Setup!$B$10))</f>
        <v/>
      </c>
      <c r="F672" s="47" t="str">
        <f>IF(OR(A672="",B672=""),"",MAX(0,B672-Setup!$B$10))</f>
        <v/>
      </c>
    </row>
    <row r="673" spans="1:6" ht="15" customHeight="1">
      <c r="A673" s="51"/>
      <c r="B673" s="51"/>
      <c r="C673" s="43"/>
      <c r="D673" s="52" t="str">
        <f t="shared" si="10"/>
        <v/>
      </c>
      <c r="E673" s="47" t="str">
        <f>IF(OR(A673="",B673=""),"",MAX(0,MIN(B673,Setup!$B$27+Setup!$B$10)-Setup!$B$10))</f>
        <v/>
      </c>
      <c r="F673" s="47" t="str">
        <f>IF(OR(A673="",B673=""),"",MAX(0,B673-Setup!$B$10))</f>
        <v/>
      </c>
    </row>
    <row r="674" spans="1:6" ht="15" customHeight="1">
      <c r="A674" s="51"/>
      <c r="B674" s="51"/>
      <c r="C674" s="43"/>
      <c r="D674" s="52" t="str">
        <f t="shared" si="10"/>
        <v/>
      </c>
      <c r="E674" s="47" t="str">
        <f>IF(OR(A674="",B674=""),"",MAX(0,MIN(B674,Setup!$B$27+Setup!$B$10)-Setup!$B$10))</f>
        <v/>
      </c>
      <c r="F674" s="47" t="str">
        <f>IF(OR(A674="",B674=""),"",MAX(0,B674-Setup!$B$10))</f>
        <v/>
      </c>
    </row>
    <row r="675" spans="1:6" ht="15" customHeight="1">
      <c r="A675" s="51"/>
      <c r="B675" s="51"/>
      <c r="C675" s="43"/>
      <c r="D675" s="52" t="str">
        <f t="shared" si="10"/>
        <v/>
      </c>
      <c r="E675" s="47" t="str">
        <f>IF(OR(A675="",B675=""),"",MAX(0,MIN(B675,Setup!$B$27+Setup!$B$10)-Setup!$B$10))</f>
        <v/>
      </c>
      <c r="F675" s="47" t="str">
        <f>IF(OR(A675="",B675=""),"",MAX(0,B675-Setup!$B$10))</f>
        <v/>
      </c>
    </row>
    <row r="676" spans="1:6" ht="15" customHeight="1">
      <c r="A676" s="51"/>
      <c r="B676" s="51"/>
      <c r="C676" s="43"/>
      <c r="D676" s="52" t="str">
        <f t="shared" si="10"/>
        <v/>
      </c>
      <c r="E676" s="47" t="str">
        <f>IF(OR(A676="",B676=""),"",MAX(0,MIN(B676,Setup!$B$27+Setup!$B$10)-Setup!$B$10))</f>
        <v/>
      </c>
      <c r="F676" s="47" t="str">
        <f>IF(OR(A676="",B676=""),"",MAX(0,B676-Setup!$B$10))</f>
        <v/>
      </c>
    </row>
    <row r="677" spans="1:6" ht="15" customHeight="1">
      <c r="A677" s="51"/>
      <c r="B677" s="51"/>
      <c r="C677" s="43"/>
      <c r="D677" s="52" t="str">
        <f t="shared" si="10"/>
        <v/>
      </c>
      <c r="E677" s="47" t="str">
        <f>IF(OR(A677="",B677=""),"",MAX(0,MIN(B677,Setup!$B$27+Setup!$B$10)-Setup!$B$10))</f>
        <v/>
      </c>
      <c r="F677" s="47" t="str">
        <f>IF(OR(A677="",B677=""),"",MAX(0,B677-Setup!$B$10))</f>
        <v/>
      </c>
    </row>
    <row r="678" spans="1:6" ht="15" customHeight="1">
      <c r="A678" s="51"/>
      <c r="B678" s="51"/>
      <c r="C678" s="43"/>
      <c r="D678" s="52" t="str">
        <f t="shared" si="10"/>
        <v/>
      </c>
      <c r="E678" s="47" t="str">
        <f>IF(OR(A678="",B678=""),"",MAX(0,MIN(B678,Setup!$B$27+Setup!$B$10)-Setup!$B$10))</f>
        <v/>
      </c>
      <c r="F678" s="47" t="str">
        <f>IF(OR(A678="",B678=""),"",MAX(0,B678-Setup!$B$10))</f>
        <v/>
      </c>
    </row>
    <row r="679" spans="1:6" ht="15" customHeight="1">
      <c r="A679" s="51"/>
      <c r="B679" s="51"/>
      <c r="C679" s="43"/>
      <c r="D679" s="52" t="str">
        <f t="shared" si="10"/>
        <v/>
      </c>
      <c r="E679" s="47" t="str">
        <f>IF(OR(A679="",B679=""),"",MAX(0,MIN(B679,Setup!$B$27+Setup!$B$10)-Setup!$B$10))</f>
        <v/>
      </c>
      <c r="F679" s="47" t="str">
        <f>IF(OR(A679="",B679=""),"",MAX(0,B679-Setup!$B$10))</f>
        <v/>
      </c>
    </row>
    <row r="680" spans="1:6" ht="15" customHeight="1">
      <c r="A680" s="51"/>
      <c r="B680" s="51"/>
      <c r="C680" s="43"/>
      <c r="D680" s="52" t="str">
        <f t="shared" si="10"/>
        <v/>
      </c>
      <c r="E680" s="47" t="str">
        <f>IF(OR(A680="",B680=""),"",MAX(0,MIN(B680,Setup!$B$27+Setup!$B$10)-Setup!$B$10))</f>
        <v/>
      </c>
      <c r="F680" s="47" t="str">
        <f>IF(OR(A680="",B680=""),"",MAX(0,B680-Setup!$B$10))</f>
        <v/>
      </c>
    </row>
    <row r="681" spans="1:6" ht="15" customHeight="1">
      <c r="A681" s="51"/>
      <c r="B681" s="51"/>
      <c r="C681" s="43"/>
      <c r="D681" s="52" t="str">
        <f t="shared" si="10"/>
        <v/>
      </c>
      <c r="E681" s="47" t="str">
        <f>IF(OR(A681="",B681=""),"",MAX(0,MIN(B681,Setup!$B$27+Setup!$B$10)-Setup!$B$10))</f>
        <v/>
      </c>
      <c r="F681" s="47" t="str">
        <f>IF(OR(A681="",B681=""),"",MAX(0,B681-Setup!$B$10))</f>
        <v/>
      </c>
    </row>
    <row r="682" spans="1:6" ht="15" customHeight="1">
      <c r="A682" s="51"/>
      <c r="B682" s="51"/>
      <c r="C682" s="43"/>
      <c r="D682" s="52" t="str">
        <f t="shared" si="10"/>
        <v/>
      </c>
      <c r="E682" s="47" t="str">
        <f>IF(OR(A682="",B682=""),"",MAX(0,MIN(B682,Setup!$B$27+Setup!$B$10)-Setup!$B$10))</f>
        <v/>
      </c>
      <c r="F682" s="47" t="str">
        <f>IF(OR(A682="",B682=""),"",MAX(0,B682-Setup!$B$10))</f>
        <v/>
      </c>
    </row>
    <row r="683" spans="1:6" ht="15" customHeight="1">
      <c r="A683" s="51"/>
      <c r="B683" s="51"/>
      <c r="C683" s="43"/>
      <c r="D683" s="52" t="str">
        <f t="shared" si="10"/>
        <v/>
      </c>
      <c r="E683" s="47" t="str">
        <f>IF(OR(A683="",B683=""),"",MAX(0,MIN(B683,Setup!$B$27+Setup!$B$10)-Setup!$B$10))</f>
        <v/>
      </c>
      <c r="F683" s="47" t="str">
        <f>IF(OR(A683="",B683=""),"",MAX(0,B683-Setup!$B$10))</f>
        <v/>
      </c>
    </row>
    <row r="684" spans="1:6" ht="15" customHeight="1">
      <c r="A684" s="51"/>
      <c r="B684" s="51"/>
      <c r="C684" s="43"/>
      <c r="D684" s="52" t="str">
        <f t="shared" si="10"/>
        <v/>
      </c>
      <c r="E684" s="47" t="str">
        <f>IF(OR(A684="",B684=""),"",MAX(0,MIN(B684,Setup!$B$27+Setup!$B$10)-Setup!$B$10))</f>
        <v/>
      </c>
      <c r="F684" s="47" t="str">
        <f>IF(OR(A684="",B684=""),"",MAX(0,B684-Setup!$B$10))</f>
        <v/>
      </c>
    </row>
    <row r="685" spans="1:6" ht="15" customHeight="1">
      <c r="A685" s="51"/>
      <c r="B685" s="51"/>
      <c r="C685" s="43"/>
      <c r="D685" s="52" t="str">
        <f t="shared" si="10"/>
        <v/>
      </c>
      <c r="E685" s="47" t="str">
        <f>IF(OR(A685="",B685=""),"",MAX(0,MIN(B685,Setup!$B$27+Setup!$B$10)-Setup!$B$10))</f>
        <v/>
      </c>
      <c r="F685" s="47" t="str">
        <f>IF(OR(A685="",B685=""),"",MAX(0,B685-Setup!$B$10))</f>
        <v/>
      </c>
    </row>
    <row r="686" spans="1:6" ht="15" customHeight="1">
      <c r="A686" s="51"/>
      <c r="B686" s="51"/>
      <c r="C686" s="43"/>
      <c r="D686" s="52" t="str">
        <f t="shared" si="10"/>
        <v/>
      </c>
      <c r="E686" s="47" t="str">
        <f>IF(OR(A686="",B686=""),"",MAX(0,MIN(B686,Setup!$B$27+Setup!$B$10)-Setup!$B$10))</f>
        <v/>
      </c>
      <c r="F686" s="47" t="str">
        <f>IF(OR(A686="",B686=""),"",MAX(0,B686-Setup!$B$10))</f>
        <v/>
      </c>
    </row>
    <row r="687" spans="1:6" ht="15" customHeight="1">
      <c r="A687" s="51"/>
      <c r="B687" s="51"/>
      <c r="C687" s="43"/>
      <c r="D687" s="52" t="str">
        <f t="shared" si="10"/>
        <v/>
      </c>
      <c r="E687" s="47" t="str">
        <f>IF(OR(A687="",B687=""),"",MAX(0,MIN(B687,Setup!$B$27+Setup!$B$10)-Setup!$B$10))</f>
        <v/>
      </c>
      <c r="F687" s="47" t="str">
        <f>IF(OR(A687="",B687=""),"",MAX(0,B687-Setup!$B$10))</f>
        <v/>
      </c>
    </row>
    <row r="688" spans="1:6" ht="15" customHeight="1">
      <c r="A688" s="51"/>
      <c r="B688" s="51"/>
      <c r="C688" s="43"/>
      <c r="D688" s="52" t="str">
        <f t="shared" si="10"/>
        <v/>
      </c>
      <c r="E688" s="47" t="str">
        <f>IF(OR(A688="",B688=""),"",MAX(0,MIN(B688,Setup!$B$27+Setup!$B$10)-Setup!$B$10))</f>
        <v/>
      </c>
      <c r="F688" s="47" t="str">
        <f>IF(OR(A688="",B688=""),"",MAX(0,B688-Setup!$B$10))</f>
        <v/>
      </c>
    </row>
    <row r="689" spans="1:6" ht="15" customHeight="1">
      <c r="A689" s="51"/>
      <c r="B689" s="51"/>
      <c r="C689" s="43"/>
      <c r="D689" s="52" t="str">
        <f t="shared" si="10"/>
        <v/>
      </c>
      <c r="E689" s="47" t="str">
        <f>IF(OR(A689="",B689=""),"",MAX(0,MIN(B689,Setup!$B$27+Setup!$B$10)-Setup!$B$10))</f>
        <v/>
      </c>
      <c r="F689" s="47" t="str">
        <f>IF(OR(A689="",B689=""),"",MAX(0,B689-Setup!$B$10))</f>
        <v/>
      </c>
    </row>
    <row r="690" spans="1:6" ht="15" customHeight="1">
      <c r="A690" s="51"/>
      <c r="B690" s="51"/>
      <c r="C690" s="43"/>
      <c r="D690" s="52" t="str">
        <f t="shared" si="10"/>
        <v/>
      </c>
      <c r="E690" s="47" t="str">
        <f>IF(OR(A690="",B690=""),"",MAX(0,MIN(B690,Setup!$B$27+Setup!$B$10)-Setup!$B$10))</f>
        <v/>
      </c>
      <c r="F690" s="47" t="str">
        <f>IF(OR(A690="",B690=""),"",MAX(0,B690-Setup!$B$10))</f>
        <v/>
      </c>
    </row>
    <row r="691" spans="1:6" ht="15" customHeight="1">
      <c r="A691" s="51"/>
      <c r="B691" s="51"/>
      <c r="C691" s="43"/>
      <c r="D691" s="52" t="str">
        <f t="shared" si="10"/>
        <v/>
      </c>
      <c r="E691" s="47" t="str">
        <f>IF(OR(A691="",B691=""),"",MAX(0,MIN(B691,Setup!$B$27+Setup!$B$10)-Setup!$B$10))</f>
        <v/>
      </c>
      <c r="F691" s="47" t="str">
        <f>IF(OR(A691="",B691=""),"",MAX(0,B691-Setup!$B$10))</f>
        <v/>
      </c>
    </row>
    <row r="692" spans="1:6" ht="15" customHeight="1">
      <c r="A692" s="51"/>
      <c r="B692" s="51"/>
      <c r="C692" s="43"/>
      <c r="D692" s="52" t="str">
        <f t="shared" si="10"/>
        <v/>
      </c>
      <c r="E692" s="47" t="str">
        <f>IF(OR(A692="",B692=""),"",MAX(0,MIN(B692,Setup!$B$27+Setup!$B$10)-Setup!$B$10))</f>
        <v/>
      </c>
      <c r="F692" s="47" t="str">
        <f>IF(OR(A692="",B692=""),"",MAX(0,B692-Setup!$B$10))</f>
        <v/>
      </c>
    </row>
    <row r="693" spans="1:6" ht="15" customHeight="1">
      <c r="A693" s="51"/>
      <c r="B693" s="51"/>
      <c r="C693" s="43"/>
      <c r="D693" s="52" t="str">
        <f t="shared" si="10"/>
        <v/>
      </c>
      <c r="E693" s="47" t="str">
        <f>IF(OR(A693="",B693=""),"",MAX(0,MIN(B693,Setup!$B$27+Setup!$B$10)-Setup!$B$10))</f>
        <v/>
      </c>
      <c r="F693" s="47" t="str">
        <f>IF(OR(A693="",B693=""),"",MAX(0,B693-Setup!$B$10))</f>
        <v/>
      </c>
    </row>
    <row r="694" spans="1:6" ht="15" customHeight="1">
      <c r="A694" s="51"/>
      <c r="B694" s="51"/>
      <c r="C694" s="43"/>
      <c r="D694" s="52" t="str">
        <f t="shared" si="10"/>
        <v/>
      </c>
      <c r="E694" s="47" t="str">
        <f>IF(OR(A694="",B694=""),"",MAX(0,MIN(B694,Setup!$B$27+Setup!$B$10)-Setup!$B$10))</f>
        <v/>
      </c>
      <c r="F694" s="47" t="str">
        <f>IF(OR(A694="",B694=""),"",MAX(0,B694-Setup!$B$10))</f>
        <v/>
      </c>
    </row>
    <row r="695" spans="1:6" ht="15" customHeight="1">
      <c r="A695" s="51"/>
      <c r="B695" s="51"/>
      <c r="C695" s="43"/>
      <c r="D695" s="52" t="str">
        <f t="shared" si="10"/>
        <v/>
      </c>
      <c r="E695" s="47" t="str">
        <f>IF(OR(A695="",B695=""),"",MAX(0,MIN(B695,Setup!$B$27+Setup!$B$10)-Setup!$B$10))</f>
        <v/>
      </c>
      <c r="F695" s="47" t="str">
        <f>IF(OR(A695="",B695=""),"",MAX(0,B695-Setup!$B$10))</f>
        <v/>
      </c>
    </row>
    <row r="696" spans="1:6" ht="15" customHeight="1">
      <c r="A696" s="51"/>
      <c r="B696" s="51"/>
      <c r="C696" s="43"/>
      <c r="D696" s="52" t="str">
        <f t="shared" si="10"/>
        <v/>
      </c>
      <c r="E696" s="47" t="str">
        <f>IF(OR(A696="",B696=""),"",MAX(0,MIN(B696,Setup!$B$27+Setup!$B$10)-Setup!$B$10))</f>
        <v/>
      </c>
      <c r="F696" s="47" t="str">
        <f>IF(OR(A696="",B696=""),"",MAX(0,B696-Setup!$B$10))</f>
        <v/>
      </c>
    </row>
    <row r="697" spans="1:6" ht="15" customHeight="1">
      <c r="A697" s="51"/>
      <c r="B697" s="51"/>
      <c r="C697" s="43"/>
      <c r="D697" s="52" t="str">
        <f t="shared" si="10"/>
        <v/>
      </c>
      <c r="E697" s="47" t="str">
        <f>IF(OR(A697="",B697=""),"",MAX(0,MIN(B697,Setup!$B$27+Setup!$B$10)-Setup!$B$10))</f>
        <v/>
      </c>
      <c r="F697" s="47" t="str">
        <f>IF(OR(A697="",B697=""),"",MAX(0,B697-Setup!$B$10))</f>
        <v/>
      </c>
    </row>
    <row r="698" spans="1:6" ht="15" customHeight="1">
      <c r="A698" s="51"/>
      <c r="B698" s="51"/>
      <c r="C698" s="43"/>
      <c r="D698" s="52" t="str">
        <f t="shared" si="10"/>
        <v/>
      </c>
      <c r="E698" s="47" t="str">
        <f>IF(OR(A698="",B698=""),"",MAX(0,MIN(B698,Setup!$B$27+Setup!$B$10)-Setup!$B$10))</f>
        <v/>
      </c>
      <c r="F698" s="47" t="str">
        <f>IF(OR(A698="",B698=""),"",MAX(0,B698-Setup!$B$10))</f>
        <v/>
      </c>
    </row>
    <row r="699" spans="1:6" ht="15" customHeight="1">
      <c r="A699" s="51"/>
      <c r="B699" s="51"/>
      <c r="C699" s="43"/>
      <c r="D699" s="52" t="str">
        <f t="shared" si="10"/>
        <v/>
      </c>
      <c r="E699" s="47" t="str">
        <f>IF(OR(A699="",B699=""),"",MAX(0,MIN(B699,Setup!$B$27+Setup!$B$10)-Setup!$B$10))</f>
        <v/>
      </c>
      <c r="F699" s="47" t="str">
        <f>IF(OR(A699="",B699=""),"",MAX(0,B699-Setup!$B$10))</f>
        <v/>
      </c>
    </row>
    <row r="700" spans="1:6" ht="15" customHeight="1">
      <c r="A700" s="51"/>
      <c r="B700" s="51"/>
      <c r="C700" s="43"/>
      <c r="D700" s="52" t="str">
        <f t="shared" si="10"/>
        <v/>
      </c>
      <c r="E700" s="47" t="str">
        <f>IF(OR(A700="",B700=""),"",MAX(0,MIN(B700,Setup!$B$27+Setup!$B$10)-Setup!$B$10))</f>
        <v/>
      </c>
      <c r="F700" s="47" t="str">
        <f>IF(OR(A700="",B700=""),"",MAX(0,B700-Setup!$B$10))</f>
        <v/>
      </c>
    </row>
    <row r="701" spans="1:6" ht="15" customHeight="1">
      <c r="A701" s="51"/>
      <c r="B701" s="51"/>
      <c r="C701" s="43"/>
      <c r="D701" s="52" t="str">
        <f t="shared" si="10"/>
        <v/>
      </c>
      <c r="E701" s="47" t="str">
        <f>IF(OR(A701="",B701=""),"",MAX(0,MIN(B701,Setup!$B$27+Setup!$B$10)-Setup!$B$10))</f>
        <v/>
      </c>
      <c r="F701" s="47" t="str">
        <f>IF(OR(A701="",B701=""),"",MAX(0,B701-Setup!$B$10))</f>
        <v/>
      </c>
    </row>
    <row r="702" spans="1:6" ht="15" customHeight="1">
      <c r="A702" s="51"/>
      <c r="B702" s="51"/>
      <c r="C702" s="43"/>
      <c r="D702" s="52" t="str">
        <f t="shared" si="10"/>
        <v/>
      </c>
      <c r="E702" s="47" t="str">
        <f>IF(OR(A702="",B702=""),"",MAX(0,MIN(B702,Setup!$B$27+Setup!$B$10)-Setup!$B$10))</f>
        <v/>
      </c>
      <c r="F702" s="47" t="str">
        <f>IF(OR(A702="",B702=""),"",MAX(0,B702-Setup!$B$10))</f>
        <v/>
      </c>
    </row>
    <row r="703" spans="1:6" ht="15" customHeight="1">
      <c r="A703" s="51"/>
      <c r="B703" s="51"/>
      <c r="C703" s="43"/>
      <c r="D703" s="52" t="str">
        <f t="shared" si="10"/>
        <v/>
      </c>
      <c r="E703" s="47" t="str">
        <f>IF(OR(A703="",B703=""),"",MAX(0,MIN(B703,Setup!$B$27+Setup!$B$10)-Setup!$B$10))</f>
        <v/>
      </c>
      <c r="F703" s="47" t="str">
        <f>IF(OR(A703="",B703=""),"",MAX(0,B703-Setup!$B$10))</f>
        <v/>
      </c>
    </row>
    <row r="704" spans="1:6" ht="15" customHeight="1">
      <c r="A704" s="51"/>
      <c r="B704" s="51"/>
      <c r="C704" s="43"/>
      <c r="D704" s="52" t="str">
        <f t="shared" si="10"/>
        <v/>
      </c>
      <c r="E704" s="47" t="str">
        <f>IF(OR(A704="",B704=""),"",MAX(0,MIN(B704,Setup!$B$27+Setup!$B$10)-Setup!$B$10))</f>
        <v/>
      </c>
      <c r="F704" s="47" t="str">
        <f>IF(OR(A704="",B704=""),"",MAX(0,B704-Setup!$B$10))</f>
        <v/>
      </c>
    </row>
    <row r="705" spans="1:6" ht="15" customHeight="1">
      <c r="A705" s="51"/>
      <c r="B705" s="51"/>
      <c r="C705" s="43"/>
      <c r="D705" s="52" t="str">
        <f t="shared" si="10"/>
        <v/>
      </c>
      <c r="E705" s="47" t="str">
        <f>IF(OR(A705="",B705=""),"",MAX(0,MIN(B705,Setup!$B$27+Setup!$B$10)-Setup!$B$10))</f>
        <v/>
      </c>
      <c r="F705" s="47" t="str">
        <f>IF(OR(A705="",B705=""),"",MAX(0,B705-Setup!$B$10))</f>
        <v/>
      </c>
    </row>
    <row r="706" spans="1:6" ht="15" customHeight="1">
      <c r="A706" s="51"/>
      <c r="B706" s="51"/>
      <c r="C706" s="43"/>
      <c r="D706" s="52" t="str">
        <f t="shared" si="10"/>
        <v/>
      </c>
      <c r="E706" s="47" t="str">
        <f>IF(OR(A706="",B706=""),"",MAX(0,MIN(B706,Setup!$B$27+Setup!$B$10)-Setup!$B$10))</f>
        <v/>
      </c>
      <c r="F706" s="47" t="str">
        <f>IF(OR(A706="",B706=""),"",MAX(0,B706-Setup!$B$10))</f>
        <v/>
      </c>
    </row>
    <row r="707" spans="1:6" ht="15" customHeight="1">
      <c r="A707" s="51"/>
      <c r="B707" s="51"/>
      <c r="C707" s="43"/>
      <c r="D707" s="52" t="str">
        <f t="shared" ref="D707:D770" si="11">IF(A707="","",YEAR(A707))</f>
        <v/>
      </c>
      <c r="E707" s="47" t="str">
        <f>IF(OR(A707="",B707=""),"",MAX(0,MIN(B707,Setup!$B$27+Setup!$B$10)-Setup!$B$10))</f>
        <v/>
      </c>
      <c r="F707" s="47" t="str">
        <f>IF(OR(A707="",B707=""),"",MAX(0,B707-Setup!$B$10))</f>
        <v/>
      </c>
    </row>
    <row r="708" spans="1:6" ht="15" customHeight="1">
      <c r="A708" s="51"/>
      <c r="B708" s="51"/>
      <c r="C708" s="43"/>
      <c r="D708" s="52" t="str">
        <f t="shared" si="11"/>
        <v/>
      </c>
      <c r="E708" s="47" t="str">
        <f>IF(OR(A708="",B708=""),"",MAX(0,MIN(B708,Setup!$B$27+Setup!$B$10)-Setup!$B$10))</f>
        <v/>
      </c>
      <c r="F708" s="47" t="str">
        <f>IF(OR(A708="",B708=""),"",MAX(0,B708-Setup!$B$10))</f>
        <v/>
      </c>
    </row>
    <row r="709" spans="1:6" ht="15" customHeight="1">
      <c r="A709" s="51"/>
      <c r="B709" s="51"/>
      <c r="C709" s="43"/>
      <c r="D709" s="52" t="str">
        <f t="shared" si="11"/>
        <v/>
      </c>
      <c r="E709" s="47" t="str">
        <f>IF(OR(A709="",B709=""),"",MAX(0,MIN(B709,Setup!$B$27+Setup!$B$10)-Setup!$B$10))</f>
        <v/>
      </c>
      <c r="F709" s="47" t="str">
        <f>IF(OR(A709="",B709=""),"",MAX(0,B709-Setup!$B$10))</f>
        <v/>
      </c>
    </row>
    <row r="710" spans="1:6" ht="15" customHeight="1">
      <c r="A710" s="51"/>
      <c r="B710" s="51"/>
      <c r="C710" s="43"/>
      <c r="D710" s="52" t="str">
        <f t="shared" si="11"/>
        <v/>
      </c>
      <c r="E710" s="47" t="str">
        <f>IF(OR(A710="",B710=""),"",MAX(0,MIN(B710,Setup!$B$27+Setup!$B$10)-Setup!$B$10))</f>
        <v/>
      </c>
      <c r="F710" s="47" t="str">
        <f>IF(OR(A710="",B710=""),"",MAX(0,B710-Setup!$B$10))</f>
        <v/>
      </c>
    </row>
    <row r="711" spans="1:6" ht="15" customHeight="1">
      <c r="A711" s="51"/>
      <c r="B711" s="51"/>
      <c r="C711" s="43"/>
      <c r="D711" s="52" t="str">
        <f t="shared" si="11"/>
        <v/>
      </c>
      <c r="E711" s="47" t="str">
        <f>IF(OR(A711="",B711=""),"",MAX(0,MIN(B711,Setup!$B$27+Setup!$B$10)-Setup!$B$10))</f>
        <v/>
      </c>
      <c r="F711" s="47" t="str">
        <f>IF(OR(A711="",B711=""),"",MAX(0,B711-Setup!$B$10))</f>
        <v/>
      </c>
    </row>
    <row r="712" spans="1:6" ht="15" customHeight="1">
      <c r="A712" s="51"/>
      <c r="B712" s="51"/>
      <c r="C712" s="43"/>
      <c r="D712" s="52" t="str">
        <f t="shared" si="11"/>
        <v/>
      </c>
      <c r="E712" s="47" t="str">
        <f>IF(OR(A712="",B712=""),"",MAX(0,MIN(B712,Setup!$B$27+Setup!$B$10)-Setup!$B$10))</f>
        <v/>
      </c>
      <c r="F712" s="47" t="str">
        <f>IF(OR(A712="",B712=""),"",MAX(0,B712-Setup!$B$10))</f>
        <v/>
      </c>
    </row>
    <row r="713" spans="1:6" ht="15" customHeight="1">
      <c r="A713" s="51"/>
      <c r="B713" s="51"/>
      <c r="C713" s="43"/>
      <c r="D713" s="52" t="str">
        <f t="shared" si="11"/>
        <v/>
      </c>
      <c r="E713" s="47" t="str">
        <f>IF(OR(A713="",B713=""),"",MAX(0,MIN(B713,Setup!$B$27+Setup!$B$10)-Setup!$B$10))</f>
        <v/>
      </c>
      <c r="F713" s="47" t="str">
        <f>IF(OR(A713="",B713=""),"",MAX(0,B713-Setup!$B$10))</f>
        <v/>
      </c>
    </row>
    <row r="714" spans="1:6" ht="15" customHeight="1">
      <c r="A714" s="51"/>
      <c r="B714" s="51"/>
      <c r="C714" s="43"/>
      <c r="D714" s="52" t="str">
        <f t="shared" si="11"/>
        <v/>
      </c>
      <c r="E714" s="47" t="str">
        <f>IF(OR(A714="",B714=""),"",MAX(0,MIN(B714,Setup!$B$27+Setup!$B$10)-Setup!$B$10))</f>
        <v/>
      </c>
      <c r="F714" s="47" t="str">
        <f>IF(OR(A714="",B714=""),"",MAX(0,B714-Setup!$B$10))</f>
        <v/>
      </c>
    </row>
    <row r="715" spans="1:6" ht="15" customHeight="1">
      <c r="A715" s="51"/>
      <c r="B715" s="51"/>
      <c r="C715" s="43"/>
      <c r="D715" s="52" t="str">
        <f t="shared" si="11"/>
        <v/>
      </c>
      <c r="E715" s="47" t="str">
        <f>IF(OR(A715="",B715=""),"",MAX(0,MIN(B715,Setup!$B$27+Setup!$B$10)-Setup!$B$10))</f>
        <v/>
      </c>
      <c r="F715" s="47" t="str">
        <f>IF(OR(A715="",B715=""),"",MAX(0,B715-Setup!$B$10))</f>
        <v/>
      </c>
    </row>
    <row r="716" spans="1:6" ht="15" customHeight="1">
      <c r="A716" s="51"/>
      <c r="B716" s="51"/>
      <c r="C716" s="43"/>
      <c r="D716" s="52" t="str">
        <f t="shared" si="11"/>
        <v/>
      </c>
      <c r="E716" s="47" t="str">
        <f>IF(OR(A716="",B716=""),"",MAX(0,MIN(B716,Setup!$B$27+Setup!$B$10)-Setup!$B$10))</f>
        <v/>
      </c>
      <c r="F716" s="47" t="str">
        <f>IF(OR(A716="",B716=""),"",MAX(0,B716-Setup!$B$10))</f>
        <v/>
      </c>
    </row>
    <row r="717" spans="1:6" ht="15" customHeight="1">
      <c r="A717" s="51"/>
      <c r="B717" s="51"/>
      <c r="C717" s="43"/>
      <c r="D717" s="52" t="str">
        <f t="shared" si="11"/>
        <v/>
      </c>
      <c r="E717" s="47" t="str">
        <f>IF(OR(A717="",B717=""),"",MAX(0,MIN(B717,Setup!$B$27+Setup!$B$10)-Setup!$B$10))</f>
        <v/>
      </c>
      <c r="F717" s="47" t="str">
        <f>IF(OR(A717="",B717=""),"",MAX(0,B717-Setup!$B$10))</f>
        <v/>
      </c>
    </row>
    <row r="718" spans="1:6" ht="15" customHeight="1">
      <c r="A718" s="51"/>
      <c r="B718" s="51"/>
      <c r="C718" s="43"/>
      <c r="D718" s="52" t="str">
        <f t="shared" si="11"/>
        <v/>
      </c>
      <c r="E718" s="47" t="str">
        <f>IF(OR(A718="",B718=""),"",MAX(0,MIN(B718,Setup!$B$27+Setup!$B$10)-Setup!$B$10))</f>
        <v/>
      </c>
      <c r="F718" s="47" t="str">
        <f>IF(OR(A718="",B718=""),"",MAX(0,B718-Setup!$B$10))</f>
        <v/>
      </c>
    </row>
    <row r="719" spans="1:6" ht="15" customHeight="1">
      <c r="A719" s="51"/>
      <c r="B719" s="51"/>
      <c r="C719" s="43"/>
      <c r="D719" s="52" t="str">
        <f t="shared" si="11"/>
        <v/>
      </c>
      <c r="E719" s="47" t="str">
        <f>IF(OR(A719="",B719=""),"",MAX(0,MIN(B719,Setup!$B$27+Setup!$B$10)-Setup!$B$10))</f>
        <v/>
      </c>
      <c r="F719" s="47" t="str">
        <f>IF(OR(A719="",B719=""),"",MAX(0,B719-Setup!$B$10))</f>
        <v/>
      </c>
    </row>
    <row r="720" spans="1:6" ht="15" customHeight="1">
      <c r="A720" s="51"/>
      <c r="B720" s="51"/>
      <c r="C720" s="43"/>
      <c r="D720" s="52" t="str">
        <f t="shared" si="11"/>
        <v/>
      </c>
      <c r="E720" s="47" t="str">
        <f>IF(OR(A720="",B720=""),"",MAX(0,MIN(B720,Setup!$B$27+Setup!$B$10)-Setup!$B$10))</f>
        <v/>
      </c>
      <c r="F720" s="47" t="str">
        <f>IF(OR(A720="",B720=""),"",MAX(0,B720-Setup!$B$10))</f>
        <v/>
      </c>
    </row>
    <row r="721" spans="1:6" ht="15" customHeight="1">
      <c r="A721" s="51"/>
      <c r="B721" s="51"/>
      <c r="C721" s="43"/>
      <c r="D721" s="52" t="str">
        <f t="shared" si="11"/>
        <v/>
      </c>
      <c r="E721" s="47" t="str">
        <f>IF(OR(A721="",B721=""),"",MAX(0,MIN(B721,Setup!$B$27+Setup!$B$10)-Setup!$B$10))</f>
        <v/>
      </c>
      <c r="F721" s="47" t="str">
        <f>IF(OR(A721="",B721=""),"",MAX(0,B721-Setup!$B$10))</f>
        <v/>
      </c>
    </row>
    <row r="722" spans="1:6" ht="15" customHeight="1">
      <c r="A722" s="51"/>
      <c r="B722" s="51"/>
      <c r="C722" s="43"/>
      <c r="D722" s="52" t="str">
        <f t="shared" si="11"/>
        <v/>
      </c>
      <c r="E722" s="47" t="str">
        <f>IF(OR(A722="",B722=""),"",MAX(0,MIN(B722,Setup!$B$27+Setup!$B$10)-Setup!$B$10))</f>
        <v/>
      </c>
      <c r="F722" s="47" t="str">
        <f>IF(OR(A722="",B722=""),"",MAX(0,B722-Setup!$B$10))</f>
        <v/>
      </c>
    </row>
    <row r="723" spans="1:6" ht="15" customHeight="1">
      <c r="A723" s="51"/>
      <c r="B723" s="51"/>
      <c r="C723" s="43"/>
      <c r="D723" s="52" t="str">
        <f t="shared" si="11"/>
        <v/>
      </c>
      <c r="E723" s="47" t="str">
        <f>IF(OR(A723="",B723=""),"",MAX(0,MIN(B723,Setup!$B$27+Setup!$B$10)-Setup!$B$10))</f>
        <v/>
      </c>
      <c r="F723" s="47" t="str">
        <f>IF(OR(A723="",B723=""),"",MAX(0,B723-Setup!$B$10))</f>
        <v/>
      </c>
    </row>
    <row r="724" spans="1:6" ht="15" customHeight="1">
      <c r="A724" s="51"/>
      <c r="B724" s="51"/>
      <c r="C724" s="43"/>
      <c r="D724" s="52" t="str">
        <f t="shared" si="11"/>
        <v/>
      </c>
      <c r="E724" s="47" t="str">
        <f>IF(OR(A724="",B724=""),"",MAX(0,MIN(B724,Setup!$B$27+Setup!$B$10)-Setup!$B$10))</f>
        <v/>
      </c>
      <c r="F724" s="47" t="str">
        <f>IF(OR(A724="",B724=""),"",MAX(0,B724-Setup!$B$10))</f>
        <v/>
      </c>
    </row>
    <row r="725" spans="1:6" ht="15" customHeight="1">
      <c r="A725" s="51"/>
      <c r="B725" s="51"/>
      <c r="C725" s="43"/>
      <c r="D725" s="52" t="str">
        <f t="shared" si="11"/>
        <v/>
      </c>
      <c r="E725" s="47" t="str">
        <f>IF(OR(A725="",B725=""),"",MAX(0,MIN(B725,Setup!$B$27+Setup!$B$10)-Setup!$B$10))</f>
        <v/>
      </c>
      <c r="F725" s="47" t="str">
        <f>IF(OR(A725="",B725=""),"",MAX(0,B725-Setup!$B$10))</f>
        <v/>
      </c>
    </row>
    <row r="726" spans="1:6" ht="15" customHeight="1">
      <c r="A726" s="51"/>
      <c r="B726" s="51"/>
      <c r="C726" s="43"/>
      <c r="D726" s="52" t="str">
        <f t="shared" si="11"/>
        <v/>
      </c>
      <c r="E726" s="47" t="str">
        <f>IF(OR(A726="",B726=""),"",MAX(0,MIN(B726,Setup!$B$27+Setup!$B$10)-Setup!$B$10))</f>
        <v/>
      </c>
      <c r="F726" s="47" t="str">
        <f>IF(OR(A726="",B726=""),"",MAX(0,B726-Setup!$B$10))</f>
        <v/>
      </c>
    </row>
    <row r="727" spans="1:6" ht="15" customHeight="1">
      <c r="A727" s="51"/>
      <c r="B727" s="51"/>
      <c r="C727" s="43"/>
      <c r="D727" s="52" t="str">
        <f t="shared" si="11"/>
        <v/>
      </c>
      <c r="E727" s="47" t="str">
        <f>IF(OR(A727="",B727=""),"",MAX(0,MIN(B727,Setup!$B$27+Setup!$B$10)-Setup!$B$10))</f>
        <v/>
      </c>
      <c r="F727" s="47" t="str">
        <f>IF(OR(A727="",B727=""),"",MAX(0,B727-Setup!$B$10))</f>
        <v/>
      </c>
    </row>
    <row r="728" spans="1:6" ht="15" customHeight="1">
      <c r="A728" s="51"/>
      <c r="B728" s="51"/>
      <c r="C728" s="43"/>
      <c r="D728" s="52" t="str">
        <f t="shared" si="11"/>
        <v/>
      </c>
      <c r="E728" s="47" t="str">
        <f>IF(OR(A728="",B728=""),"",MAX(0,MIN(B728,Setup!$B$27+Setup!$B$10)-Setup!$B$10))</f>
        <v/>
      </c>
      <c r="F728" s="47" t="str">
        <f>IF(OR(A728="",B728=""),"",MAX(0,B728-Setup!$B$10))</f>
        <v/>
      </c>
    </row>
    <row r="729" spans="1:6" ht="15" customHeight="1">
      <c r="A729" s="51"/>
      <c r="B729" s="51"/>
      <c r="C729" s="43"/>
      <c r="D729" s="52" t="str">
        <f t="shared" si="11"/>
        <v/>
      </c>
      <c r="E729" s="47" t="str">
        <f>IF(OR(A729="",B729=""),"",MAX(0,MIN(B729,Setup!$B$27+Setup!$B$10)-Setup!$B$10))</f>
        <v/>
      </c>
      <c r="F729" s="47" t="str">
        <f>IF(OR(A729="",B729=""),"",MAX(0,B729-Setup!$B$10))</f>
        <v/>
      </c>
    </row>
    <row r="730" spans="1:6" ht="15" customHeight="1">
      <c r="A730" s="51"/>
      <c r="B730" s="51"/>
      <c r="C730" s="43"/>
      <c r="D730" s="52" t="str">
        <f t="shared" si="11"/>
        <v/>
      </c>
      <c r="E730" s="47" t="str">
        <f>IF(OR(A730="",B730=""),"",MAX(0,MIN(B730,Setup!$B$27+Setup!$B$10)-Setup!$B$10))</f>
        <v/>
      </c>
      <c r="F730" s="47" t="str">
        <f>IF(OR(A730="",B730=""),"",MAX(0,B730-Setup!$B$10))</f>
        <v/>
      </c>
    </row>
    <row r="731" spans="1:6" ht="15" customHeight="1">
      <c r="A731" s="51"/>
      <c r="B731" s="51"/>
      <c r="C731" s="43"/>
      <c r="D731" s="52" t="str">
        <f t="shared" si="11"/>
        <v/>
      </c>
      <c r="E731" s="47" t="str">
        <f>IF(OR(A731="",B731=""),"",MAX(0,MIN(B731,Setup!$B$27+Setup!$B$10)-Setup!$B$10))</f>
        <v/>
      </c>
      <c r="F731" s="47" t="str">
        <f>IF(OR(A731="",B731=""),"",MAX(0,B731-Setup!$B$10))</f>
        <v/>
      </c>
    </row>
    <row r="732" spans="1:6" ht="15" customHeight="1">
      <c r="A732" s="51"/>
      <c r="B732" s="51"/>
      <c r="C732" s="43"/>
      <c r="D732" s="52" t="str">
        <f t="shared" si="11"/>
        <v/>
      </c>
      <c r="E732" s="47" t="str">
        <f>IF(OR(A732="",B732=""),"",MAX(0,MIN(B732,Setup!$B$27+Setup!$B$10)-Setup!$B$10))</f>
        <v/>
      </c>
      <c r="F732" s="47" t="str">
        <f>IF(OR(A732="",B732=""),"",MAX(0,B732-Setup!$B$10))</f>
        <v/>
      </c>
    </row>
    <row r="733" spans="1:6" ht="15" customHeight="1">
      <c r="A733" s="51"/>
      <c r="B733" s="51"/>
      <c r="C733" s="43"/>
      <c r="D733" s="52" t="str">
        <f t="shared" si="11"/>
        <v/>
      </c>
      <c r="E733" s="47" t="str">
        <f>IF(OR(A733="",B733=""),"",MAX(0,MIN(B733,Setup!$B$27+Setup!$B$10)-Setup!$B$10))</f>
        <v/>
      </c>
      <c r="F733" s="47" t="str">
        <f>IF(OR(A733="",B733=""),"",MAX(0,B733-Setup!$B$10))</f>
        <v/>
      </c>
    </row>
    <row r="734" spans="1:6" ht="15" customHeight="1">
      <c r="A734" s="51"/>
      <c r="B734" s="51"/>
      <c r="C734" s="43"/>
      <c r="D734" s="52" t="str">
        <f t="shared" si="11"/>
        <v/>
      </c>
      <c r="E734" s="47" t="str">
        <f>IF(OR(A734="",B734=""),"",MAX(0,MIN(B734,Setup!$B$27+Setup!$B$10)-Setup!$B$10))</f>
        <v/>
      </c>
      <c r="F734" s="47" t="str">
        <f>IF(OR(A734="",B734=""),"",MAX(0,B734-Setup!$B$10))</f>
        <v/>
      </c>
    </row>
    <row r="735" spans="1:6" ht="15" customHeight="1">
      <c r="A735" s="51"/>
      <c r="B735" s="51"/>
      <c r="C735" s="43"/>
      <c r="D735" s="52" t="str">
        <f t="shared" si="11"/>
        <v/>
      </c>
      <c r="E735" s="47" t="str">
        <f>IF(OR(A735="",B735=""),"",MAX(0,MIN(B735,Setup!$B$27+Setup!$B$10)-Setup!$B$10))</f>
        <v/>
      </c>
      <c r="F735" s="47" t="str">
        <f>IF(OR(A735="",B735=""),"",MAX(0,B735-Setup!$B$10))</f>
        <v/>
      </c>
    </row>
    <row r="736" spans="1:6" ht="15" customHeight="1">
      <c r="A736" s="51"/>
      <c r="B736" s="51"/>
      <c r="C736" s="43"/>
      <c r="D736" s="52" t="str">
        <f t="shared" si="11"/>
        <v/>
      </c>
      <c r="E736" s="47" t="str">
        <f>IF(OR(A736="",B736=""),"",MAX(0,MIN(B736,Setup!$B$27+Setup!$B$10)-Setup!$B$10))</f>
        <v/>
      </c>
      <c r="F736" s="47" t="str">
        <f>IF(OR(A736="",B736=""),"",MAX(0,B736-Setup!$B$10))</f>
        <v/>
      </c>
    </row>
    <row r="737" spans="1:6" ht="15" customHeight="1">
      <c r="A737" s="51"/>
      <c r="B737" s="51"/>
      <c r="C737" s="43"/>
      <c r="D737" s="52" t="str">
        <f t="shared" si="11"/>
        <v/>
      </c>
      <c r="E737" s="47" t="str">
        <f>IF(OR(A737="",B737=""),"",MAX(0,MIN(B737,Setup!$B$27+Setup!$B$10)-Setup!$B$10))</f>
        <v/>
      </c>
      <c r="F737" s="47" t="str">
        <f>IF(OR(A737="",B737=""),"",MAX(0,B737-Setup!$B$10))</f>
        <v/>
      </c>
    </row>
    <row r="738" spans="1:6" ht="15" customHeight="1">
      <c r="A738" s="51"/>
      <c r="B738" s="51"/>
      <c r="C738" s="43"/>
      <c r="D738" s="52" t="str">
        <f t="shared" si="11"/>
        <v/>
      </c>
      <c r="E738" s="47" t="str">
        <f>IF(OR(A738="",B738=""),"",MAX(0,MIN(B738,Setup!$B$27+Setup!$B$10)-Setup!$B$10))</f>
        <v/>
      </c>
      <c r="F738" s="47" t="str">
        <f>IF(OR(A738="",B738=""),"",MAX(0,B738-Setup!$B$10))</f>
        <v/>
      </c>
    </row>
    <row r="739" spans="1:6" ht="15" customHeight="1">
      <c r="A739" s="51"/>
      <c r="B739" s="51"/>
      <c r="C739" s="43"/>
      <c r="D739" s="52" t="str">
        <f t="shared" si="11"/>
        <v/>
      </c>
      <c r="E739" s="47" t="str">
        <f>IF(OR(A739="",B739=""),"",MAX(0,MIN(B739,Setup!$B$27+Setup!$B$10)-Setup!$B$10))</f>
        <v/>
      </c>
      <c r="F739" s="47" t="str">
        <f>IF(OR(A739="",B739=""),"",MAX(0,B739-Setup!$B$10))</f>
        <v/>
      </c>
    </row>
    <row r="740" spans="1:6" ht="15" customHeight="1">
      <c r="A740" s="51"/>
      <c r="B740" s="51"/>
      <c r="C740" s="43"/>
      <c r="D740" s="52" t="str">
        <f t="shared" si="11"/>
        <v/>
      </c>
      <c r="E740" s="47" t="str">
        <f>IF(OR(A740="",B740=""),"",MAX(0,MIN(B740,Setup!$B$27+Setup!$B$10)-Setup!$B$10))</f>
        <v/>
      </c>
      <c r="F740" s="47" t="str">
        <f>IF(OR(A740="",B740=""),"",MAX(0,B740-Setup!$B$10))</f>
        <v/>
      </c>
    </row>
    <row r="741" spans="1:6" ht="15" customHeight="1">
      <c r="A741" s="51"/>
      <c r="B741" s="51"/>
      <c r="C741" s="43"/>
      <c r="D741" s="52" t="str">
        <f t="shared" si="11"/>
        <v/>
      </c>
      <c r="E741" s="47" t="str">
        <f>IF(OR(A741="",B741=""),"",MAX(0,MIN(B741,Setup!$B$27+Setup!$B$10)-Setup!$B$10))</f>
        <v/>
      </c>
      <c r="F741" s="47" t="str">
        <f>IF(OR(A741="",B741=""),"",MAX(0,B741-Setup!$B$10))</f>
        <v/>
      </c>
    </row>
    <row r="742" spans="1:6" ht="15" customHeight="1">
      <c r="A742" s="51"/>
      <c r="B742" s="51"/>
      <c r="C742" s="43"/>
      <c r="D742" s="52" t="str">
        <f t="shared" si="11"/>
        <v/>
      </c>
      <c r="E742" s="47" t="str">
        <f>IF(OR(A742="",B742=""),"",MAX(0,MIN(B742,Setup!$B$27+Setup!$B$10)-Setup!$B$10))</f>
        <v/>
      </c>
      <c r="F742" s="47" t="str">
        <f>IF(OR(A742="",B742=""),"",MAX(0,B742-Setup!$B$10))</f>
        <v/>
      </c>
    </row>
    <row r="743" spans="1:6" ht="15" customHeight="1">
      <c r="A743" s="51"/>
      <c r="B743" s="51"/>
      <c r="C743" s="43"/>
      <c r="D743" s="52" t="str">
        <f t="shared" si="11"/>
        <v/>
      </c>
      <c r="E743" s="47" t="str">
        <f>IF(OR(A743="",B743=""),"",MAX(0,MIN(B743,Setup!$B$27+Setup!$B$10)-Setup!$B$10))</f>
        <v/>
      </c>
      <c r="F743" s="47" t="str">
        <f>IF(OR(A743="",B743=""),"",MAX(0,B743-Setup!$B$10))</f>
        <v/>
      </c>
    </row>
    <row r="744" spans="1:6" ht="15" customHeight="1">
      <c r="A744" s="51"/>
      <c r="B744" s="51"/>
      <c r="C744" s="43"/>
      <c r="D744" s="52" t="str">
        <f t="shared" si="11"/>
        <v/>
      </c>
      <c r="E744" s="47" t="str">
        <f>IF(OR(A744="",B744=""),"",MAX(0,MIN(B744,Setup!$B$27+Setup!$B$10)-Setup!$B$10))</f>
        <v/>
      </c>
      <c r="F744" s="47" t="str">
        <f>IF(OR(A744="",B744=""),"",MAX(0,B744-Setup!$B$10))</f>
        <v/>
      </c>
    </row>
    <row r="745" spans="1:6" ht="15" customHeight="1">
      <c r="A745" s="51"/>
      <c r="B745" s="51"/>
      <c r="C745" s="43"/>
      <c r="D745" s="52" t="str">
        <f t="shared" si="11"/>
        <v/>
      </c>
      <c r="E745" s="47" t="str">
        <f>IF(OR(A745="",B745=""),"",MAX(0,MIN(B745,Setup!$B$27+Setup!$B$10)-Setup!$B$10))</f>
        <v/>
      </c>
      <c r="F745" s="47" t="str">
        <f>IF(OR(A745="",B745=""),"",MAX(0,B745-Setup!$B$10))</f>
        <v/>
      </c>
    </row>
    <row r="746" spans="1:6" ht="15" customHeight="1">
      <c r="A746" s="51"/>
      <c r="B746" s="51"/>
      <c r="C746" s="43"/>
      <c r="D746" s="52" t="str">
        <f t="shared" si="11"/>
        <v/>
      </c>
      <c r="E746" s="47" t="str">
        <f>IF(OR(A746="",B746=""),"",MAX(0,MIN(B746,Setup!$B$27+Setup!$B$10)-Setup!$B$10))</f>
        <v/>
      </c>
      <c r="F746" s="47" t="str">
        <f>IF(OR(A746="",B746=""),"",MAX(0,B746-Setup!$B$10))</f>
        <v/>
      </c>
    </row>
    <row r="747" spans="1:6" ht="15" customHeight="1">
      <c r="A747" s="51"/>
      <c r="B747" s="51"/>
      <c r="C747" s="43"/>
      <c r="D747" s="52" t="str">
        <f t="shared" si="11"/>
        <v/>
      </c>
      <c r="E747" s="47" t="str">
        <f>IF(OR(A747="",B747=""),"",MAX(0,MIN(B747,Setup!$B$27+Setup!$B$10)-Setup!$B$10))</f>
        <v/>
      </c>
      <c r="F747" s="47" t="str">
        <f>IF(OR(A747="",B747=""),"",MAX(0,B747-Setup!$B$10))</f>
        <v/>
      </c>
    </row>
    <row r="748" spans="1:6" ht="15" customHeight="1">
      <c r="A748" s="51"/>
      <c r="B748" s="51"/>
      <c r="C748" s="43"/>
      <c r="D748" s="52" t="str">
        <f t="shared" si="11"/>
        <v/>
      </c>
      <c r="E748" s="47" t="str">
        <f>IF(OR(A748="",B748=""),"",MAX(0,MIN(B748,Setup!$B$27+Setup!$B$10)-Setup!$B$10))</f>
        <v/>
      </c>
      <c r="F748" s="47" t="str">
        <f>IF(OR(A748="",B748=""),"",MAX(0,B748-Setup!$B$10))</f>
        <v/>
      </c>
    </row>
    <row r="749" spans="1:6" ht="15" customHeight="1">
      <c r="A749" s="51"/>
      <c r="B749" s="51"/>
      <c r="C749" s="43"/>
      <c r="D749" s="52" t="str">
        <f t="shared" si="11"/>
        <v/>
      </c>
      <c r="E749" s="47" t="str">
        <f>IF(OR(A749="",B749=""),"",MAX(0,MIN(B749,Setup!$B$27+Setup!$B$10)-Setup!$B$10))</f>
        <v/>
      </c>
      <c r="F749" s="47" t="str">
        <f>IF(OR(A749="",B749=""),"",MAX(0,B749-Setup!$B$10))</f>
        <v/>
      </c>
    </row>
    <row r="750" spans="1:6" ht="15" customHeight="1">
      <c r="A750" s="51"/>
      <c r="B750" s="51"/>
      <c r="C750" s="43"/>
      <c r="D750" s="52" t="str">
        <f t="shared" si="11"/>
        <v/>
      </c>
      <c r="E750" s="47" t="str">
        <f>IF(OR(A750="",B750=""),"",MAX(0,MIN(B750,Setup!$B$27+Setup!$B$10)-Setup!$B$10))</f>
        <v/>
      </c>
      <c r="F750" s="47" t="str">
        <f>IF(OR(A750="",B750=""),"",MAX(0,B750-Setup!$B$10))</f>
        <v/>
      </c>
    </row>
    <row r="751" spans="1:6" ht="15" customHeight="1">
      <c r="A751" s="51"/>
      <c r="B751" s="51"/>
      <c r="C751" s="43"/>
      <c r="D751" s="52" t="str">
        <f t="shared" si="11"/>
        <v/>
      </c>
      <c r="E751" s="47" t="str">
        <f>IF(OR(A751="",B751=""),"",MAX(0,MIN(B751,Setup!$B$27+Setup!$B$10)-Setup!$B$10))</f>
        <v/>
      </c>
      <c r="F751" s="47" t="str">
        <f>IF(OR(A751="",B751=""),"",MAX(0,B751-Setup!$B$10))</f>
        <v/>
      </c>
    </row>
    <row r="752" spans="1:6" ht="15" customHeight="1">
      <c r="A752" s="51"/>
      <c r="B752" s="51"/>
      <c r="C752" s="43"/>
      <c r="D752" s="52" t="str">
        <f t="shared" si="11"/>
        <v/>
      </c>
      <c r="E752" s="47" t="str">
        <f>IF(OR(A752="",B752=""),"",MAX(0,MIN(B752,Setup!$B$27+Setup!$B$10)-Setup!$B$10))</f>
        <v/>
      </c>
      <c r="F752" s="47" t="str">
        <f>IF(OR(A752="",B752=""),"",MAX(0,B752-Setup!$B$10))</f>
        <v/>
      </c>
    </row>
    <row r="753" spans="1:6" ht="15" customHeight="1">
      <c r="A753" s="51"/>
      <c r="B753" s="51"/>
      <c r="C753" s="43"/>
      <c r="D753" s="52" t="str">
        <f t="shared" si="11"/>
        <v/>
      </c>
      <c r="E753" s="47" t="str">
        <f>IF(OR(A753="",B753=""),"",MAX(0,MIN(B753,Setup!$B$27+Setup!$B$10)-Setup!$B$10))</f>
        <v/>
      </c>
      <c r="F753" s="47" t="str">
        <f>IF(OR(A753="",B753=""),"",MAX(0,B753-Setup!$B$10))</f>
        <v/>
      </c>
    </row>
    <row r="754" spans="1:6" ht="15" customHeight="1">
      <c r="A754" s="51"/>
      <c r="B754" s="51"/>
      <c r="C754" s="43"/>
      <c r="D754" s="52" t="str">
        <f t="shared" si="11"/>
        <v/>
      </c>
      <c r="E754" s="47" t="str">
        <f>IF(OR(A754="",B754=""),"",MAX(0,MIN(B754,Setup!$B$27+Setup!$B$10)-Setup!$B$10))</f>
        <v/>
      </c>
      <c r="F754" s="47" t="str">
        <f>IF(OR(A754="",B754=""),"",MAX(0,B754-Setup!$B$10))</f>
        <v/>
      </c>
    </row>
    <row r="755" spans="1:6" ht="15" customHeight="1">
      <c r="A755" s="51"/>
      <c r="B755" s="51"/>
      <c r="C755" s="43"/>
      <c r="D755" s="52" t="str">
        <f t="shared" si="11"/>
        <v/>
      </c>
      <c r="E755" s="47" t="str">
        <f>IF(OR(A755="",B755=""),"",MAX(0,MIN(B755,Setup!$B$27+Setup!$B$10)-Setup!$B$10))</f>
        <v/>
      </c>
      <c r="F755" s="47" t="str">
        <f>IF(OR(A755="",B755=""),"",MAX(0,B755-Setup!$B$10))</f>
        <v/>
      </c>
    </row>
    <row r="756" spans="1:6" ht="15" customHeight="1">
      <c r="A756" s="51"/>
      <c r="B756" s="51"/>
      <c r="C756" s="43"/>
      <c r="D756" s="52" t="str">
        <f t="shared" si="11"/>
        <v/>
      </c>
      <c r="E756" s="47" t="str">
        <f>IF(OR(A756="",B756=""),"",MAX(0,MIN(B756,Setup!$B$27+Setup!$B$10)-Setup!$B$10))</f>
        <v/>
      </c>
      <c r="F756" s="47" t="str">
        <f>IF(OR(A756="",B756=""),"",MAX(0,B756-Setup!$B$10))</f>
        <v/>
      </c>
    </row>
    <row r="757" spans="1:6" ht="15" customHeight="1">
      <c r="A757" s="51"/>
      <c r="B757" s="51"/>
      <c r="C757" s="43"/>
      <c r="D757" s="52" t="str">
        <f t="shared" si="11"/>
        <v/>
      </c>
      <c r="E757" s="47" t="str">
        <f>IF(OR(A757="",B757=""),"",MAX(0,MIN(B757,Setup!$B$27+Setup!$B$10)-Setup!$B$10))</f>
        <v/>
      </c>
      <c r="F757" s="47" t="str">
        <f>IF(OR(A757="",B757=""),"",MAX(0,B757-Setup!$B$10))</f>
        <v/>
      </c>
    </row>
    <row r="758" spans="1:6" ht="15" customHeight="1">
      <c r="A758" s="51"/>
      <c r="B758" s="51"/>
      <c r="C758" s="43"/>
      <c r="D758" s="52" t="str">
        <f t="shared" si="11"/>
        <v/>
      </c>
      <c r="E758" s="47" t="str">
        <f>IF(OR(A758="",B758=""),"",MAX(0,MIN(B758,Setup!$B$27+Setup!$B$10)-Setup!$B$10))</f>
        <v/>
      </c>
      <c r="F758" s="47" t="str">
        <f>IF(OR(A758="",B758=""),"",MAX(0,B758-Setup!$B$10))</f>
        <v/>
      </c>
    </row>
    <row r="759" spans="1:6" ht="15" customHeight="1">
      <c r="A759" s="51"/>
      <c r="B759" s="51"/>
      <c r="C759" s="43"/>
      <c r="D759" s="52" t="str">
        <f t="shared" si="11"/>
        <v/>
      </c>
      <c r="E759" s="47" t="str">
        <f>IF(OR(A759="",B759=""),"",MAX(0,MIN(B759,Setup!$B$27+Setup!$B$10)-Setup!$B$10))</f>
        <v/>
      </c>
      <c r="F759" s="47" t="str">
        <f>IF(OR(A759="",B759=""),"",MAX(0,B759-Setup!$B$10))</f>
        <v/>
      </c>
    </row>
    <row r="760" spans="1:6" ht="15" customHeight="1">
      <c r="A760" s="51"/>
      <c r="B760" s="51"/>
      <c r="C760" s="43"/>
      <c r="D760" s="52" t="str">
        <f t="shared" si="11"/>
        <v/>
      </c>
      <c r="E760" s="47" t="str">
        <f>IF(OR(A760="",B760=""),"",MAX(0,MIN(B760,Setup!$B$27+Setup!$B$10)-Setup!$B$10))</f>
        <v/>
      </c>
      <c r="F760" s="47" t="str">
        <f>IF(OR(A760="",B760=""),"",MAX(0,B760-Setup!$B$10))</f>
        <v/>
      </c>
    </row>
    <row r="761" spans="1:6" ht="15" customHeight="1">
      <c r="A761" s="51"/>
      <c r="B761" s="51"/>
      <c r="C761" s="43"/>
      <c r="D761" s="52" t="str">
        <f t="shared" si="11"/>
        <v/>
      </c>
      <c r="E761" s="47" t="str">
        <f>IF(OR(A761="",B761=""),"",MAX(0,MIN(B761,Setup!$B$27+Setup!$B$10)-Setup!$B$10))</f>
        <v/>
      </c>
      <c r="F761" s="47" t="str">
        <f>IF(OR(A761="",B761=""),"",MAX(0,B761-Setup!$B$10))</f>
        <v/>
      </c>
    </row>
    <row r="762" spans="1:6" ht="15" customHeight="1">
      <c r="A762" s="51"/>
      <c r="B762" s="51"/>
      <c r="C762" s="43"/>
      <c r="D762" s="52" t="str">
        <f t="shared" si="11"/>
        <v/>
      </c>
      <c r="E762" s="47" t="str">
        <f>IF(OR(A762="",B762=""),"",MAX(0,MIN(B762,Setup!$B$27+Setup!$B$10)-Setup!$B$10))</f>
        <v/>
      </c>
      <c r="F762" s="47" t="str">
        <f>IF(OR(A762="",B762=""),"",MAX(0,B762-Setup!$B$10))</f>
        <v/>
      </c>
    </row>
    <row r="763" spans="1:6" ht="15" customHeight="1">
      <c r="A763" s="51"/>
      <c r="B763" s="51"/>
      <c r="C763" s="43"/>
      <c r="D763" s="52" t="str">
        <f t="shared" si="11"/>
        <v/>
      </c>
      <c r="E763" s="47" t="str">
        <f>IF(OR(A763="",B763=""),"",MAX(0,MIN(B763,Setup!$B$27+Setup!$B$10)-Setup!$B$10))</f>
        <v/>
      </c>
      <c r="F763" s="47" t="str">
        <f>IF(OR(A763="",B763=""),"",MAX(0,B763-Setup!$B$10))</f>
        <v/>
      </c>
    </row>
    <row r="764" spans="1:6" ht="15" customHeight="1">
      <c r="A764" s="51"/>
      <c r="B764" s="51"/>
      <c r="C764" s="43"/>
      <c r="D764" s="52" t="str">
        <f t="shared" si="11"/>
        <v/>
      </c>
      <c r="E764" s="47" t="str">
        <f>IF(OR(A764="",B764=""),"",MAX(0,MIN(B764,Setup!$B$27+Setup!$B$10)-Setup!$B$10))</f>
        <v/>
      </c>
      <c r="F764" s="47" t="str">
        <f>IF(OR(A764="",B764=""),"",MAX(0,B764-Setup!$B$10))</f>
        <v/>
      </c>
    </row>
    <row r="765" spans="1:6" ht="15" customHeight="1">
      <c r="A765" s="51"/>
      <c r="B765" s="51"/>
      <c r="C765" s="43"/>
      <c r="D765" s="52" t="str">
        <f t="shared" si="11"/>
        <v/>
      </c>
      <c r="E765" s="47" t="str">
        <f>IF(OR(A765="",B765=""),"",MAX(0,MIN(B765,Setup!$B$27+Setup!$B$10)-Setup!$B$10))</f>
        <v/>
      </c>
      <c r="F765" s="47" t="str">
        <f>IF(OR(A765="",B765=""),"",MAX(0,B765-Setup!$B$10))</f>
        <v/>
      </c>
    </row>
    <row r="766" spans="1:6" ht="15" customHeight="1">
      <c r="A766" s="51"/>
      <c r="B766" s="51"/>
      <c r="C766" s="43"/>
      <c r="D766" s="52" t="str">
        <f t="shared" si="11"/>
        <v/>
      </c>
      <c r="E766" s="47" t="str">
        <f>IF(OR(A766="",B766=""),"",MAX(0,MIN(B766,Setup!$B$27+Setup!$B$10)-Setup!$B$10))</f>
        <v/>
      </c>
      <c r="F766" s="47" t="str">
        <f>IF(OR(A766="",B766=""),"",MAX(0,B766-Setup!$B$10))</f>
        <v/>
      </c>
    </row>
    <row r="767" spans="1:6" ht="15" customHeight="1">
      <c r="A767" s="51"/>
      <c r="B767" s="51"/>
      <c r="C767" s="43"/>
      <c r="D767" s="52" t="str">
        <f t="shared" si="11"/>
        <v/>
      </c>
      <c r="E767" s="47" t="str">
        <f>IF(OR(A767="",B767=""),"",MAX(0,MIN(B767,Setup!$B$27+Setup!$B$10)-Setup!$B$10))</f>
        <v/>
      </c>
      <c r="F767" s="47" t="str">
        <f>IF(OR(A767="",B767=""),"",MAX(0,B767-Setup!$B$10))</f>
        <v/>
      </c>
    </row>
    <row r="768" spans="1:6" ht="15" customHeight="1">
      <c r="A768" s="51"/>
      <c r="B768" s="51"/>
      <c r="C768" s="43"/>
      <c r="D768" s="52" t="str">
        <f t="shared" si="11"/>
        <v/>
      </c>
      <c r="E768" s="47" t="str">
        <f>IF(OR(A768="",B768=""),"",MAX(0,MIN(B768,Setup!$B$27+Setup!$B$10)-Setup!$B$10))</f>
        <v/>
      </c>
      <c r="F768" s="47" t="str">
        <f>IF(OR(A768="",B768=""),"",MAX(0,B768-Setup!$B$10))</f>
        <v/>
      </c>
    </row>
    <row r="769" spans="1:6" ht="15" customHeight="1">
      <c r="A769" s="51"/>
      <c r="B769" s="51"/>
      <c r="C769" s="43"/>
      <c r="D769" s="52" t="str">
        <f t="shared" si="11"/>
        <v/>
      </c>
      <c r="E769" s="47" t="str">
        <f>IF(OR(A769="",B769=""),"",MAX(0,MIN(B769,Setup!$B$27+Setup!$B$10)-Setup!$B$10))</f>
        <v/>
      </c>
      <c r="F769" s="47" t="str">
        <f>IF(OR(A769="",B769=""),"",MAX(0,B769-Setup!$B$10))</f>
        <v/>
      </c>
    </row>
    <row r="770" spans="1:6" ht="15" customHeight="1">
      <c r="A770" s="51"/>
      <c r="B770" s="51"/>
      <c r="C770" s="43"/>
      <c r="D770" s="52" t="str">
        <f t="shared" si="11"/>
        <v/>
      </c>
      <c r="E770" s="47" t="str">
        <f>IF(OR(A770="",B770=""),"",MAX(0,MIN(B770,Setup!$B$27+Setup!$B$10)-Setup!$B$10))</f>
        <v/>
      </c>
      <c r="F770" s="47" t="str">
        <f>IF(OR(A770="",B770=""),"",MAX(0,B770-Setup!$B$10))</f>
        <v/>
      </c>
    </row>
    <row r="771" spans="1:6" ht="15" customHeight="1">
      <c r="A771" s="51"/>
      <c r="B771" s="51"/>
      <c r="C771" s="43"/>
      <c r="D771" s="52" t="str">
        <f t="shared" ref="D771:D834" si="12">IF(A771="","",YEAR(A771))</f>
        <v/>
      </c>
      <c r="E771" s="47" t="str">
        <f>IF(OR(A771="",B771=""),"",MAX(0,MIN(B771,Setup!$B$27+Setup!$B$10)-Setup!$B$10))</f>
        <v/>
      </c>
      <c r="F771" s="47" t="str">
        <f>IF(OR(A771="",B771=""),"",MAX(0,B771-Setup!$B$10))</f>
        <v/>
      </c>
    </row>
    <row r="772" spans="1:6" ht="15" customHeight="1">
      <c r="A772" s="51"/>
      <c r="B772" s="51"/>
      <c r="C772" s="43"/>
      <c r="D772" s="52" t="str">
        <f t="shared" si="12"/>
        <v/>
      </c>
      <c r="E772" s="47" t="str">
        <f>IF(OR(A772="",B772=""),"",MAX(0,MIN(B772,Setup!$B$27+Setup!$B$10)-Setup!$B$10))</f>
        <v/>
      </c>
      <c r="F772" s="47" t="str">
        <f>IF(OR(A772="",B772=""),"",MAX(0,B772-Setup!$B$10))</f>
        <v/>
      </c>
    </row>
    <row r="773" spans="1:6" ht="15" customHeight="1">
      <c r="A773" s="51"/>
      <c r="B773" s="51"/>
      <c r="C773" s="43"/>
      <c r="D773" s="52" t="str">
        <f t="shared" si="12"/>
        <v/>
      </c>
      <c r="E773" s="47" t="str">
        <f>IF(OR(A773="",B773=""),"",MAX(0,MIN(B773,Setup!$B$27+Setup!$B$10)-Setup!$B$10))</f>
        <v/>
      </c>
      <c r="F773" s="47" t="str">
        <f>IF(OR(A773="",B773=""),"",MAX(0,B773-Setup!$B$10))</f>
        <v/>
      </c>
    </row>
    <row r="774" spans="1:6" ht="15" customHeight="1">
      <c r="A774" s="51"/>
      <c r="B774" s="51"/>
      <c r="C774" s="43"/>
      <c r="D774" s="52" t="str">
        <f t="shared" si="12"/>
        <v/>
      </c>
      <c r="E774" s="47" t="str">
        <f>IF(OR(A774="",B774=""),"",MAX(0,MIN(B774,Setup!$B$27+Setup!$B$10)-Setup!$B$10))</f>
        <v/>
      </c>
      <c r="F774" s="47" t="str">
        <f>IF(OR(A774="",B774=""),"",MAX(0,B774-Setup!$B$10))</f>
        <v/>
      </c>
    </row>
    <row r="775" spans="1:6" ht="15" customHeight="1">
      <c r="A775" s="51"/>
      <c r="B775" s="51"/>
      <c r="C775" s="43"/>
      <c r="D775" s="52" t="str">
        <f t="shared" si="12"/>
        <v/>
      </c>
      <c r="E775" s="47" t="str">
        <f>IF(OR(A775="",B775=""),"",MAX(0,MIN(B775,Setup!$B$27+Setup!$B$10)-Setup!$B$10))</f>
        <v/>
      </c>
      <c r="F775" s="47" t="str">
        <f>IF(OR(A775="",B775=""),"",MAX(0,B775-Setup!$B$10))</f>
        <v/>
      </c>
    </row>
    <row r="776" spans="1:6" ht="15" customHeight="1">
      <c r="A776" s="51"/>
      <c r="B776" s="51"/>
      <c r="C776" s="43"/>
      <c r="D776" s="52" t="str">
        <f t="shared" si="12"/>
        <v/>
      </c>
      <c r="E776" s="47" t="str">
        <f>IF(OR(A776="",B776=""),"",MAX(0,MIN(B776,Setup!$B$27+Setup!$B$10)-Setup!$B$10))</f>
        <v/>
      </c>
      <c r="F776" s="47" t="str">
        <f>IF(OR(A776="",B776=""),"",MAX(0,B776-Setup!$B$10))</f>
        <v/>
      </c>
    </row>
    <row r="777" spans="1:6" ht="15" customHeight="1">
      <c r="A777" s="51"/>
      <c r="B777" s="51"/>
      <c r="C777" s="43"/>
      <c r="D777" s="52" t="str">
        <f t="shared" si="12"/>
        <v/>
      </c>
      <c r="E777" s="47" t="str">
        <f>IF(OR(A777="",B777=""),"",MAX(0,MIN(B777,Setup!$B$27+Setup!$B$10)-Setup!$B$10))</f>
        <v/>
      </c>
      <c r="F777" s="47" t="str">
        <f>IF(OR(A777="",B777=""),"",MAX(0,B777-Setup!$B$10))</f>
        <v/>
      </c>
    </row>
    <row r="778" spans="1:6" ht="15" customHeight="1">
      <c r="A778" s="51"/>
      <c r="B778" s="51"/>
      <c r="C778" s="43"/>
      <c r="D778" s="52" t="str">
        <f t="shared" si="12"/>
        <v/>
      </c>
      <c r="E778" s="47" t="str">
        <f>IF(OR(A778="",B778=""),"",MAX(0,MIN(B778,Setup!$B$27+Setup!$B$10)-Setup!$B$10))</f>
        <v/>
      </c>
      <c r="F778" s="47" t="str">
        <f>IF(OR(A778="",B778=""),"",MAX(0,B778-Setup!$B$10))</f>
        <v/>
      </c>
    </row>
    <row r="779" spans="1:6" ht="15" customHeight="1">
      <c r="A779" s="51"/>
      <c r="B779" s="51"/>
      <c r="C779" s="43"/>
      <c r="D779" s="52" t="str">
        <f t="shared" si="12"/>
        <v/>
      </c>
      <c r="E779" s="47" t="str">
        <f>IF(OR(A779="",B779=""),"",MAX(0,MIN(B779,Setup!$B$27+Setup!$B$10)-Setup!$B$10))</f>
        <v/>
      </c>
      <c r="F779" s="47" t="str">
        <f>IF(OR(A779="",B779=""),"",MAX(0,B779-Setup!$B$10))</f>
        <v/>
      </c>
    </row>
    <row r="780" spans="1:6" ht="15" customHeight="1">
      <c r="A780" s="51"/>
      <c r="B780" s="51"/>
      <c r="C780" s="43"/>
      <c r="D780" s="52" t="str">
        <f t="shared" si="12"/>
        <v/>
      </c>
      <c r="E780" s="47" t="str">
        <f>IF(OR(A780="",B780=""),"",MAX(0,MIN(B780,Setup!$B$27+Setup!$B$10)-Setup!$B$10))</f>
        <v/>
      </c>
      <c r="F780" s="47" t="str">
        <f>IF(OR(A780="",B780=""),"",MAX(0,B780-Setup!$B$10))</f>
        <v/>
      </c>
    </row>
    <row r="781" spans="1:6" ht="15" customHeight="1">
      <c r="A781" s="51"/>
      <c r="B781" s="51"/>
      <c r="C781" s="43"/>
      <c r="D781" s="52" t="str">
        <f t="shared" si="12"/>
        <v/>
      </c>
      <c r="E781" s="47" t="str">
        <f>IF(OR(A781="",B781=""),"",MAX(0,MIN(B781,Setup!$B$27+Setup!$B$10)-Setup!$B$10))</f>
        <v/>
      </c>
      <c r="F781" s="47" t="str">
        <f>IF(OR(A781="",B781=""),"",MAX(0,B781-Setup!$B$10))</f>
        <v/>
      </c>
    </row>
    <row r="782" spans="1:6" ht="15" customHeight="1">
      <c r="A782" s="51"/>
      <c r="B782" s="51"/>
      <c r="C782" s="43"/>
      <c r="D782" s="52" t="str">
        <f t="shared" si="12"/>
        <v/>
      </c>
      <c r="E782" s="47" t="str">
        <f>IF(OR(A782="",B782=""),"",MAX(0,MIN(B782,Setup!$B$27+Setup!$B$10)-Setup!$B$10))</f>
        <v/>
      </c>
      <c r="F782" s="47" t="str">
        <f>IF(OR(A782="",B782=""),"",MAX(0,B782-Setup!$B$10))</f>
        <v/>
      </c>
    </row>
    <row r="783" spans="1:6" ht="15" customHeight="1">
      <c r="A783" s="51"/>
      <c r="B783" s="51"/>
      <c r="C783" s="43"/>
      <c r="D783" s="52" t="str">
        <f t="shared" si="12"/>
        <v/>
      </c>
      <c r="E783" s="47" t="str">
        <f>IF(OR(A783="",B783=""),"",MAX(0,MIN(B783,Setup!$B$27+Setup!$B$10)-Setup!$B$10))</f>
        <v/>
      </c>
      <c r="F783" s="47" t="str">
        <f>IF(OR(A783="",B783=""),"",MAX(0,B783-Setup!$B$10))</f>
        <v/>
      </c>
    </row>
    <row r="784" spans="1:6" ht="15" customHeight="1">
      <c r="A784" s="51"/>
      <c r="B784" s="51"/>
      <c r="C784" s="43"/>
      <c r="D784" s="52" t="str">
        <f t="shared" si="12"/>
        <v/>
      </c>
      <c r="E784" s="47" t="str">
        <f>IF(OR(A784="",B784=""),"",MAX(0,MIN(B784,Setup!$B$27+Setup!$B$10)-Setup!$B$10))</f>
        <v/>
      </c>
      <c r="F784" s="47" t="str">
        <f>IF(OR(A784="",B784=""),"",MAX(0,B784-Setup!$B$10))</f>
        <v/>
      </c>
    </row>
    <row r="785" spans="1:6" ht="15" customHeight="1">
      <c r="A785" s="51"/>
      <c r="B785" s="51"/>
      <c r="C785" s="43"/>
      <c r="D785" s="52" t="str">
        <f t="shared" si="12"/>
        <v/>
      </c>
      <c r="E785" s="47" t="str">
        <f>IF(OR(A785="",B785=""),"",MAX(0,MIN(B785,Setup!$B$27+Setup!$B$10)-Setup!$B$10))</f>
        <v/>
      </c>
      <c r="F785" s="47" t="str">
        <f>IF(OR(A785="",B785=""),"",MAX(0,B785-Setup!$B$10))</f>
        <v/>
      </c>
    </row>
    <row r="786" spans="1:6" ht="15" customHeight="1">
      <c r="A786" s="51"/>
      <c r="B786" s="51"/>
      <c r="C786" s="43"/>
      <c r="D786" s="52" t="str">
        <f t="shared" si="12"/>
        <v/>
      </c>
      <c r="E786" s="47" t="str">
        <f>IF(OR(A786="",B786=""),"",MAX(0,MIN(B786,Setup!$B$27+Setup!$B$10)-Setup!$B$10))</f>
        <v/>
      </c>
      <c r="F786" s="47" t="str">
        <f>IF(OR(A786="",B786=""),"",MAX(0,B786-Setup!$B$10))</f>
        <v/>
      </c>
    </row>
    <row r="787" spans="1:6" ht="15" customHeight="1">
      <c r="A787" s="51"/>
      <c r="B787" s="51"/>
      <c r="C787" s="43"/>
      <c r="D787" s="52" t="str">
        <f t="shared" si="12"/>
        <v/>
      </c>
      <c r="E787" s="47" t="str">
        <f>IF(OR(A787="",B787=""),"",MAX(0,MIN(B787,Setup!$B$27+Setup!$B$10)-Setup!$B$10))</f>
        <v/>
      </c>
      <c r="F787" s="47" t="str">
        <f>IF(OR(A787="",B787=""),"",MAX(0,B787-Setup!$B$10))</f>
        <v/>
      </c>
    </row>
    <row r="788" spans="1:6" ht="15" customHeight="1">
      <c r="A788" s="51"/>
      <c r="B788" s="51"/>
      <c r="C788" s="43"/>
      <c r="D788" s="52" t="str">
        <f t="shared" si="12"/>
        <v/>
      </c>
      <c r="E788" s="47" t="str">
        <f>IF(OR(A788="",B788=""),"",MAX(0,MIN(B788,Setup!$B$27+Setup!$B$10)-Setup!$B$10))</f>
        <v/>
      </c>
      <c r="F788" s="47" t="str">
        <f>IF(OR(A788="",B788=""),"",MAX(0,B788-Setup!$B$10))</f>
        <v/>
      </c>
    </row>
    <row r="789" spans="1:6" ht="15" customHeight="1">
      <c r="A789" s="51"/>
      <c r="B789" s="51"/>
      <c r="C789" s="43"/>
      <c r="D789" s="52" t="str">
        <f t="shared" si="12"/>
        <v/>
      </c>
      <c r="E789" s="47" t="str">
        <f>IF(OR(A789="",B789=""),"",MAX(0,MIN(B789,Setup!$B$27+Setup!$B$10)-Setup!$B$10))</f>
        <v/>
      </c>
      <c r="F789" s="47" t="str">
        <f>IF(OR(A789="",B789=""),"",MAX(0,B789-Setup!$B$10))</f>
        <v/>
      </c>
    </row>
    <row r="790" spans="1:6" ht="15" customHeight="1">
      <c r="A790" s="51"/>
      <c r="B790" s="51"/>
      <c r="C790" s="43"/>
      <c r="D790" s="52" t="str">
        <f t="shared" si="12"/>
        <v/>
      </c>
      <c r="E790" s="47" t="str">
        <f>IF(OR(A790="",B790=""),"",MAX(0,MIN(B790,Setup!$B$27+Setup!$B$10)-Setup!$B$10))</f>
        <v/>
      </c>
      <c r="F790" s="47" t="str">
        <f>IF(OR(A790="",B790=""),"",MAX(0,B790-Setup!$B$10))</f>
        <v/>
      </c>
    </row>
    <row r="791" spans="1:6" ht="15" customHeight="1">
      <c r="A791" s="51"/>
      <c r="B791" s="51"/>
      <c r="C791" s="43"/>
      <c r="D791" s="52" t="str">
        <f t="shared" si="12"/>
        <v/>
      </c>
      <c r="E791" s="47" t="str">
        <f>IF(OR(A791="",B791=""),"",MAX(0,MIN(B791,Setup!$B$27+Setup!$B$10)-Setup!$B$10))</f>
        <v/>
      </c>
      <c r="F791" s="47" t="str">
        <f>IF(OR(A791="",B791=""),"",MAX(0,B791-Setup!$B$10))</f>
        <v/>
      </c>
    </row>
    <row r="792" spans="1:6" ht="15" customHeight="1">
      <c r="A792" s="51"/>
      <c r="B792" s="51"/>
      <c r="C792" s="43"/>
      <c r="D792" s="52" t="str">
        <f t="shared" si="12"/>
        <v/>
      </c>
      <c r="E792" s="47" t="str">
        <f>IF(OR(A792="",B792=""),"",MAX(0,MIN(B792,Setup!$B$27+Setup!$B$10)-Setup!$B$10))</f>
        <v/>
      </c>
      <c r="F792" s="47" t="str">
        <f>IF(OR(A792="",B792=""),"",MAX(0,B792-Setup!$B$10))</f>
        <v/>
      </c>
    </row>
    <row r="793" spans="1:6" ht="15" customHeight="1">
      <c r="A793" s="51"/>
      <c r="B793" s="51"/>
      <c r="C793" s="43"/>
      <c r="D793" s="52" t="str">
        <f t="shared" si="12"/>
        <v/>
      </c>
      <c r="E793" s="47" t="str">
        <f>IF(OR(A793="",B793=""),"",MAX(0,MIN(B793,Setup!$B$27+Setup!$B$10)-Setup!$B$10))</f>
        <v/>
      </c>
      <c r="F793" s="47" t="str">
        <f>IF(OR(A793="",B793=""),"",MAX(0,B793-Setup!$B$10))</f>
        <v/>
      </c>
    </row>
    <row r="794" spans="1:6" ht="15" customHeight="1">
      <c r="A794" s="51"/>
      <c r="B794" s="51"/>
      <c r="C794" s="43"/>
      <c r="D794" s="52" t="str">
        <f t="shared" si="12"/>
        <v/>
      </c>
      <c r="E794" s="47" t="str">
        <f>IF(OR(A794="",B794=""),"",MAX(0,MIN(B794,Setup!$B$27+Setup!$B$10)-Setup!$B$10))</f>
        <v/>
      </c>
      <c r="F794" s="47" t="str">
        <f>IF(OR(A794="",B794=""),"",MAX(0,B794-Setup!$B$10))</f>
        <v/>
      </c>
    </row>
    <row r="795" spans="1:6" ht="15" customHeight="1">
      <c r="A795" s="51"/>
      <c r="B795" s="51"/>
      <c r="C795" s="43"/>
      <c r="D795" s="52" t="str">
        <f t="shared" si="12"/>
        <v/>
      </c>
      <c r="E795" s="47" t="str">
        <f>IF(OR(A795="",B795=""),"",MAX(0,MIN(B795,Setup!$B$27+Setup!$B$10)-Setup!$B$10))</f>
        <v/>
      </c>
      <c r="F795" s="47" t="str">
        <f>IF(OR(A795="",B795=""),"",MAX(0,B795-Setup!$B$10))</f>
        <v/>
      </c>
    </row>
    <row r="796" spans="1:6" ht="15" customHeight="1">
      <c r="A796" s="51"/>
      <c r="B796" s="51"/>
      <c r="C796" s="43"/>
      <c r="D796" s="52" t="str">
        <f t="shared" si="12"/>
        <v/>
      </c>
      <c r="E796" s="47" t="str">
        <f>IF(OR(A796="",B796=""),"",MAX(0,MIN(B796,Setup!$B$27+Setup!$B$10)-Setup!$B$10))</f>
        <v/>
      </c>
      <c r="F796" s="47" t="str">
        <f>IF(OR(A796="",B796=""),"",MAX(0,B796-Setup!$B$10))</f>
        <v/>
      </c>
    </row>
    <row r="797" spans="1:6" ht="15" customHeight="1">
      <c r="A797" s="51"/>
      <c r="B797" s="51"/>
      <c r="C797" s="43"/>
      <c r="D797" s="52" t="str">
        <f t="shared" si="12"/>
        <v/>
      </c>
      <c r="E797" s="47" t="str">
        <f>IF(OR(A797="",B797=""),"",MAX(0,MIN(B797,Setup!$B$27+Setup!$B$10)-Setup!$B$10))</f>
        <v/>
      </c>
      <c r="F797" s="47" t="str">
        <f>IF(OR(A797="",B797=""),"",MAX(0,B797-Setup!$B$10))</f>
        <v/>
      </c>
    </row>
    <row r="798" spans="1:6" ht="15" customHeight="1">
      <c r="A798" s="51"/>
      <c r="B798" s="51"/>
      <c r="C798" s="43"/>
      <c r="D798" s="52" t="str">
        <f t="shared" si="12"/>
        <v/>
      </c>
      <c r="E798" s="47" t="str">
        <f>IF(OR(A798="",B798=""),"",MAX(0,MIN(B798,Setup!$B$27+Setup!$B$10)-Setup!$B$10))</f>
        <v/>
      </c>
      <c r="F798" s="47" t="str">
        <f>IF(OR(A798="",B798=""),"",MAX(0,B798-Setup!$B$10))</f>
        <v/>
      </c>
    </row>
    <row r="799" spans="1:6" ht="15" customHeight="1">
      <c r="A799" s="51"/>
      <c r="B799" s="51"/>
      <c r="C799" s="43"/>
      <c r="D799" s="52" t="str">
        <f t="shared" si="12"/>
        <v/>
      </c>
      <c r="E799" s="47" t="str">
        <f>IF(OR(A799="",B799=""),"",MAX(0,MIN(B799,Setup!$B$27+Setup!$B$10)-Setup!$B$10))</f>
        <v/>
      </c>
      <c r="F799" s="47" t="str">
        <f>IF(OR(A799="",B799=""),"",MAX(0,B799-Setup!$B$10))</f>
        <v/>
      </c>
    </row>
    <row r="800" spans="1:6" ht="15" customHeight="1">
      <c r="A800" s="51"/>
      <c r="B800" s="51"/>
      <c r="C800" s="43"/>
      <c r="D800" s="52" t="str">
        <f t="shared" si="12"/>
        <v/>
      </c>
      <c r="E800" s="47" t="str">
        <f>IF(OR(A800="",B800=""),"",MAX(0,MIN(B800,Setup!$B$27+Setup!$B$10)-Setup!$B$10))</f>
        <v/>
      </c>
      <c r="F800" s="47" t="str">
        <f>IF(OR(A800="",B800=""),"",MAX(0,B800-Setup!$B$10))</f>
        <v/>
      </c>
    </row>
    <row r="801" spans="1:6" ht="15" customHeight="1">
      <c r="A801" s="51"/>
      <c r="B801" s="51"/>
      <c r="C801" s="43"/>
      <c r="D801" s="52" t="str">
        <f t="shared" si="12"/>
        <v/>
      </c>
      <c r="E801" s="47" t="str">
        <f>IF(OR(A801="",B801=""),"",MAX(0,MIN(B801,Setup!$B$27+Setup!$B$10)-Setup!$B$10))</f>
        <v/>
      </c>
      <c r="F801" s="47" t="str">
        <f>IF(OR(A801="",B801=""),"",MAX(0,B801-Setup!$B$10))</f>
        <v/>
      </c>
    </row>
    <row r="802" spans="1:6" ht="15" customHeight="1">
      <c r="A802" s="51"/>
      <c r="B802" s="51"/>
      <c r="C802" s="43"/>
      <c r="D802" s="52" t="str">
        <f t="shared" si="12"/>
        <v/>
      </c>
      <c r="E802" s="47" t="str">
        <f>IF(OR(A802="",B802=""),"",MAX(0,MIN(B802,Setup!$B$27+Setup!$B$10)-Setup!$B$10))</f>
        <v/>
      </c>
      <c r="F802" s="47" t="str">
        <f>IF(OR(A802="",B802=""),"",MAX(0,B802-Setup!$B$10))</f>
        <v/>
      </c>
    </row>
    <row r="803" spans="1:6" ht="15" customHeight="1">
      <c r="A803" s="51"/>
      <c r="B803" s="51"/>
      <c r="C803" s="43"/>
      <c r="D803" s="52" t="str">
        <f t="shared" si="12"/>
        <v/>
      </c>
      <c r="E803" s="47" t="str">
        <f>IF(OR(A803="",B803=""),"",MAX(0,MIN(B803,Setup!$B$27+Setup!$B$10)-Setup!$B$10))</f>
        <v/>
      </c>
      <c r="F803" s="47" t="str">
        <f>IF(OR(A803="",B803=""),"",MAX(0,B803-Setup!$B$10))</f>
        <v/>
      </c>
    </row>
    <row r="804" spans="1:6" ht="15" customHeight="1">
      <c r="A804" s="51"/>
      <c r="B804" s="51"/>
      <c r="C804" s="43"/>
      <c r="D804" s="52" t="str">
        <f t="shared" si="12"/>
        <v/>
      </c>
      <c r="E804" s="47" t="str">
        <f>IF(OR(A804="",B804=""),"",MAX(0,MIN(B804,Setup!$B$27+Setup!$B$10)-Setup!$B$10))</f>
        <v/>
      </c>
      <c r="F804" s="47" t="str">
        <f>IF(OR(A804="",B804=""),"",MAX(0,B804-Setup!$B$10))</f>
        <v/>
      </c>
    </row>
    <row r="805" spans="1:6" ht="15" customHeight="1">
      <c r="A805" s="51"/>
      <c r="B805" s="51"/>
      <c r="C805" s="43"/>
      <c r="D805" s="52" t="str">
        <f t="shared" si="12"/>
        <v/>
      </c>
      <c r="E805" s="47" t="str">
        <f>IF(OR(A805="",B805=""),"",MAX(0,MIN(B805,Setup!$B$27+Setup!$B$10)-Setup!$B$10))</f>
        <v/>
      </c>
      <c r="F805" s="47" t="str">
        <f>IF(OR(A805="",B805=""),"",MAX(0,B805-Setup!$B$10))</f>
        <v/>
      </c>
    </row>
    <row r="806" spans="1:6" ht="15" customHeight="1">
      <c r="A806" s="51"/>
      <c r="B806" s="51"/>
      <c r="C806" s="43"/>
      <c r="D806" s="52" t="str">
        <f t="shared" si="12"/>
        <v/>
      </c>
      <c r="E806" s="47" t="str">
        <f>IF(OR(A806="",B806=""),"",MAX(0,MIN(B806,Setup!$B$27+Setup!$B$10)-Setup!$B$10))</f>
        <v/>
      </c>
      <c r="F806" s="47" t="str">
        <f>IF(OR(A806="",B806=""),"",MAX(0,B806-Setup!$B$10))</f>
        <v/>
      </c>
    </row>
    <row r="807" spans="1:6" ht="15" customHeight="1">
      <c r="A807" s="51"/>
      <c r="B807" s="51"/>
      <c r="C807" s="43"/>
      <c r="D807" s="52" t="str">
        <f t="shared" si="12"/>
        <v/>
      </c>
      <c r="E807" s="47" t="str">
        <f>IF(OR(A807="",B807=""),"",MAX(0,MIN(B807,Setup!$B$27+Setup!$B$10)-Setup!$B$10))</f>
        <v/>
      </c>
      <c r="F807" s="47" t="str">
        <f>IF(OR(A807="",B807=""),"",MAX(0,B807-Setup!$B$10))</f>
        <v/>
      </c>
    </row>
    <row r="808" spans="1:6" ht="15" customHeight="1">
      <c r="A808" s="51"/>
      <c r="B808" s="51"/>
      <c r="C808" s="43"/>
      <c r="D808" s="52" t="str">
        <f t="shared" si="12"/>
        <v/>
      </c>
      <c r="E808" s="47" t="str">
        <f>IF(OR(A808="",B808=""),"",MAX(0,MIN(B808,Setup!$B$27+Setup!$B$10)-Setup!$B$10))</f>
        <v/>
      </c>
      <c r="F808" s="47" t="str">
        <f>IF(OR(A808="",B808=""),"",MAX(0,B808-Setup!$B$10))</f>
        <v/>
      </c>
    </row>
    <row r="809" spans="1:6" ht="15" customHeight="1">
      <c r="A809" s="51"/>
      <c r="B809" s="51"/>
      <c r="C809" s="43"/>
      <c r="D809" s="52" t="str">
        <f t="shared" si="12"/>
        <v/>
      </c>
      <c r="E809" s="47" t="str">
        <f>IF(OR(A809="",B809=""),"",MAX(0,MIN(B809,Setup!$B$27+Setup!$B$10)-Setup!$B$10))</f>
        <v/>
      </c>
      <c r="F809" s="47" t="str">
        <f>IF(OR(A809="",B809=""),"",MAX(0,B809-Setup!$B$10))</f>
        <v/>
      </c>
    </row>
    <row r="810" spans="1:6" ht="15" customHeight="1">
      <c r="A810" s="51"/>
      <c r="B810" s="51"/>
      <c r="C810" s="43"/>
      <c r="D810" s="52" t="str">
        <f t="shared" si="12"/>
        <v/>
      </c>
      <c r="E810" s="47" t="str">
        <f>IF(OR(A810="",B810=""),"",MAX(0,MIN(B810,Setup!$B$27+Setup!$B$10)-Setup!$B$10))</f>
        <v/>
      </c>
      <c r="F810" s="47" t="str">
        <f>IF(OR(A810="",B810=""),"",MAX(0,B810-Setup!$B$10))</f>
        <v/>
      </c>
    </row>
    <row r="811" spans="1:6" ht="15" customHeight="1">
      <c r="A811" s="51"/>
      <c r="B811" s="51"/>
      <c r="C811" s="43"/>
      <c r="D811" s="52" t="str">
        <f t="shared" si="12"/>
        <v/>
      </c>
      <c r="E811" s="47" t="str">
        <f>IF(OR(A811="",B811=""),"",MAX(0,MIN(B811,Setup!$B$27+Setup!$B$10)-Setup!$B$10))</f>
        <v/>
      </c>
      <c r="F811" s="47" t="str">
        <f>IF(OR(A811="",B811=""),"",MAX(0,B811-Setup!$B$10))</f>
        <v/>
      </c>
    </row>
    <row r="812" spans="1:6" ht="15" customHeight="1">
      <c r="A812" s="51"/>
      <c r="B812" s="51"/>
      <c r="C812" s="43"/>
      <c r="D812" s="52" t="str">
        <f t="shared" si="12"/>
        <v/>
      </c>
      <c r="E812" s="47" t="str">
        <f>IF(OR(A812="",B812=""),"",MAX(0,MIN(B812,Setup!$B$27+Setup!$B$10)-Setup!$B$10))</f>
        <v/>
      </c>
      <c r="F812" s="47" t="str">
        <f>IF(OR(A812="",B812=""),"",MAX(0,B812-Setup!$B$10))</f>
        <v/>
      </c>
    </row>
    <row r="813" spans="1:6" ht="15" customHeight="1">
      <c r="A813" s="51"/>
      <c r="B813" s="51"/>
      <c r="C813" s="43"/>
      <c r="D813" s="52" t="str">
        <f t="shared" si="12"/>
        <v/>
      </c>
      <c r="E813" s="47" t="str">
        <f>IF(OR(A813="",B813=""),"",MAX(0,MIN(B813,Setup!$B$27+Setup!$B$10)-Setup!$B$10))</f>
        <v/>
      </c>
      <c r="F813" s="47" t="str">
        <f>IF(OR(A813="",B813=""),"",MAX(0,B813-Setup!$B$10))</f>
        <v/>
      </c>
    </row>
    <row r="814" spans="1:6" ht="15" customHeight="1">
      <c r="A814" s="51"/>
      <c r="B814" s="51"/>
      <c r="C814" s="43"/>
      <c r="D814" s="52" t="str">
        <f t="shared" si="12"/>
        <v/>
      </c>
      <c r="E814" s="47" t="str">
        <f>IF(OR(A814="",B814=""),"",MAX(0,MIN(B814,Setup!$B$27+Setup!$B$10)-Setup!$B$10))</f>
        <v/>
      </c>
      <c r="F814" s="47" t="str">
        <f>IF(OR(A814="",B814=""),"",MAX(0,B814-Setup!$B$10))</f>
        <v/>
      </c>
    </row>
    <row r="815" spans="1:6" ht="15" customHeight="1">
      <c r="A815" s="51"/>
      <c r="B815" s="51"/>
      <c r="C815" s="43"/>
      <c r="D815" s="52" t="str">
        <f t="shared" si="12"/>
        <v/>
      </c>
      <c r="E815" s="47" t="str">
        <f>IF(OR(A815="",B815=""),"",MAX(0,MIN(B815,Setup!$B$27+Setup!$B$10)-Setup!$B$10))</f>
        <v/>
      </c>
      <c r="F815" s="47" t="str">
        <f>IF(OR(A815="",B815=""),"",MAX(0,B815-Setup!$B$10))</f>
        <v/>
      </c>
    </row>
    <row r="816" spans="1:6" ht="15" customHeight="1">
      <c r="A816" s="51"/>
      <c r="B816" s="51"/>
      <c r="C816" s="43"/>
      <c r="D816" s="52" t="str">
        <f t="shared" si="12"/>
        <v/>
      </c>
      <c r="E816" s="47" t="str">
        <f>IF(OR(A816="",B816=""),"",MAX(0,MIN(B816,Setup!$B$27+Setup!$B$10)-Setup!$B$10))</f>
        <v/>
      </c>
      <c r="F816" s="47" t="str">
        <f>IF(OR(A816="",B816=""),"",MAX(0,B816-Setup!$B$10))</f>
        <v/>
      </c>
    </row>
    <row r="817" spans="1:6" ht="15" customHeight="1">
      <c r="A817" s="51"/>
      <c r="B817" s="51"/>
      <c r="C817" s="43"/>
      <c r="D817" s="52" t="str">
        <f t="shared" si="12"/>
        <v/>
      </c>
      <c r="E817" s="47" t="str">
        <f>IF(OR(A817="",B817=""),"",MAX(0,MIN(B817,Setup!$B$27+Setup!$B$10)-Setup!$B$10))</f>
        <v/>
      </c>
      <c r="F817" s="47" t="str">
        <f>IF(OR(A817="",B817=""),"",MAX(0,B817-Setup!$B$10))</f>
        <v/>
      </c>
    </row>
    <row r="818" spans="1:6" ht="15" customHeight="1">
      <c r="A818" s="51"/>
      <c r="B818" s="51"/>
      <c r="C818" s="43"/>
      <c r="D818" s="52" t="str">
        <f t="shared" si="12"/>
        <v/>
      </c>
      <c r="E818" s="47" t="str">
        <f>IF(OR(A818="",B818=""),"",MAX(0,MIN(B818,Setup!$B$27+Setup!$B$10)-Setup!$B$10))</f>
        <v/>
      </c>
      <c r="F818" s="47" t="str">
        <f>IF(OR(A818="",B818=""),"",MAX(0,B818-Setup!$B$10))</f>
        <v/>
      </c>
    </row>
    <row r="819" spans="1:6" ht="15" customHeight="1">
      <c r="A819" s="51"/>
      <c r="B819" s="51"/>
      <c r="C819" s="43"/>
      <c r="D819" s="52" t="str">
        <f t="shared" si="12"/>
        <v/>
      </c>
      <c r="E819" s="47" t="str">
        <f>IF(OR(A819="",B819=""),"",MAX(0,MIN(B819,Setup!$B$27+Setup!$B$10)-Setup!$B$10))</f>
        <v/>
      </c>
      <c r="F819" s="47" t="str">
        <f>IF(OR(A819="",B819=""),"",MAX(0,B819-Setup!$B$10))</f>
        <v/>
      </c>
    </row>
    <row r="820" spans="1:6" ht="15" customHeight="1">
      <c r="A820" s="51"/>
      <c r="B820" s="51"/>
      <c r="C820" s="43"/>
      <c r="D820" s="52" t="str">
        <f t="shared" si="12"/>
        <v/>
      </c>
      <c r="E820" s="47" t="str">
        <f>IF(OR(A820="",B820=""),"",MAX(0,MIN(B820,Setup!$B$27+Setup!$B$10)-Setup!$B$10))</f>
        <v/>
      </c>
      <c r="F820" s="47" t="str">
        <f>IF(OR(A820="",B820=""),"",MAX(0,B820-Setup!$B$10))</f>
        <v/>
      </c>
    </row>
    <row r="821" spans="1:6" ht="15" customHeight="1">
      <c r="A821" s="51"/>
      <c r="B821" s="51"/>
      <c r="C821" s="43"/>
      <c r="D821" s="52" t="str">
        <f t="shared" si="12"/>
        <v/>
      </c>
      <c r="E821" s="47" t="str">
        <f>IF(OR(A821="",B821=""),"",MAX(0,MIN(B821,Setup!$B$27+Setup!$B$10)-Setup!$B$10))</f>
        <v/>
      </c>
      <c r="F821" s="47" t="str">
        <f>IF(OR(A821="",B821=""),"",MAX(0,B821-Setup!$B$10))</f>
        <v/>
      </c>
    </row>
    <row r="822" spans="1:6" ht="15" customHeight="1">
      <c r="A822" s="51"/>
      <c r="B822" s="51"/>
      <c r="C822" s="43"/>
      <c r="D822" s="52" t="str">
        <f t="shared" si="12"/>
        <v/>
      </c>
      <c r="E822" s="47" t="str">
        <f>IF(OR(A822="",B822=""),"",MAX(0,MIN(B822,Setup!$B$27+Setup!$B$10)-Setup!$B$10))</f>
        <v/>
      </c>
      <c r="F822" s="47" t="str">
        <f>IF(OR(A822="",B822=""),"",MAX(0,B822-Setup!$B$10))</f>
        <v/>
      </c>
    </row>
    <row r="823" spans="1:6" ht="15" customHeight="1">
      <c r="A823" s="51"/>
      <c r="B823" s="51"/>
      <c r="C823" s="43"/>
      <c r="D823" s="52" t="str">
        <f t="shared" si="12"/>
        <v/>
      </c>
      <c r="E823" s="47" t="str">
        <f>IF(OR(A823="",B823=""),"",MAX(0,MIN(B823,Setup!$B$27+Setup!$B$10)-Setup!$B$10))</f>
        <v/>
      </c>
      <c r="F823" s="47" t="str">
        <f>IF(OR(A823="",B823=""),"",MAX(0,B823-Setup!$B$10))</f>
        <v/>
      </c>
    </row>
    <row r="824" spans="1:6" ht="15" customHeight="1">
      <c r="A824" s="51"/>
      <c r="B824" s="51"/>
      <c r="C824" s="43"/>
      <c r="D824" s="52" t="str">
        <f t="shared" si="12"/>
        <v/>
      </c>
      <c r="E824" s="47" t="str">
        <f>IF(OR(A824="",B824=""),"",MAX(0,MIN(B824,Setup!$B$27+Setup!$B$10)-Setup!$B$10))</f>
        <v/>
      </c>
      <c r="F824" s="47" t="str">
        <f>IF(OR(A824="",B824=""),"",MAX(0,B824-Setup!$B$10))</f>
        <v/>
      </c>
    </row>
    <row r="825" spans="1:6" ht="15" customHeight="1">
      <c r="A825" s="51"/>
      <c r="B825" s="51"/>
      <c r="C825" s="43"/>
      <c r="D825" s="52" t="str">
        <f t="shared" si="12"/>
        <v/>
      </c>
      <c r="E825" s="47" t="str">
        <f>IF(OR(A825="",B825=""),"",MAX(0,MIN(B825,Setup!$B$27+Setup!$B$10)-Setup!$B$10))</f>
        <v/>
      </c>
      <c r="F825" s="47" t="str">
        <f>IF(OR(A825="",B825=""),"",MAX(0,B825-Setup!$B$10))</f>
        <v/>
      </c>
    </row>
    <row r="826" spans="1:6" ht="15" customHeight="1">
      <c r="A826" s="51"/>
      <c r="B826" s="51"/>
      <c r="C826" s="43"/>
      <c r="D826" s="52" t="str">
        <f t="shared" si="12"/>
        <v/>
      </c>
      <c r="E826" s="47" t="str">
        <f>IF(OR(A826="",B826=""),"",MAX(0,MIN(B826,Setup!$B$27+Setup!$B$10)-Setup!$B$10))</f>
        <v/>
      </c>
      <c r="F826" s="47" t="str">
        <f>IF(OR(A826="",B826=""),"",MAX(0,B826-Setup!$B$10))</f>
        <v/>
      </c>
    </row>
    <row r="827" spans="1:6" ht="15" customHeight="1">
      <c r="A827" s="51"/>
      <c r="B827" s="51"/>
      <c r="C827" s="43"/>
      <c r="D827" s="52" t="str">
        <f t="shared" si="12"/>
        <v/>
      </c>
      <c r="E827" s="47" t="str">
        <f>IF(OR(A827="",B827=""),"",MAX(0,MIN(B827,Setup!$B$27+Setup!$B$10)-Setup!$B$10))</f>
        <v/>
      </c>
      <c r="F827" s="47" t="str">
        <f>IF(OR(A827="",B827=""),"",MAX(0,B827-Setup!$B$10))</f>
        <v/>
      </c>
    </row>
    <row r="828" spans="1:6" ht="15" customHeight="1">
      <c r="A828" s="51"/>
      <c r="B828" s="51"/>
      <c r="C828" s="43"/>
      <c r="D828" s="52" t="str">
        <f t="shared" si="12"/>
        <v/>
      </c>
      <c r="E828" s="47" t="str">
        <f>IF(OR(A828="",B828=""),"",MAX(0,MIN(B828,Setup!$B$27+Setup!$B$10)-Setup!$B$10))</f>
        <v/>
      </c>
      <c r="F828" s="47" t="str">
        <f>IF(OR(A828="",B828=""),"",MAX(0,B828-Setup!$B$10))</f>
        <v/>
      </c>
    </row>
    <row r="829" spans="1:6" ht="15" customHeight="1">
      <c r="A829" s="51"/>
      <c r="B829" s="51"/>
      <c r="C829" s="43"/>
      <c r="D829" s="52" t="str">
        <f t="shared" si="12"/>
        <v/>
      </c>
      <c r="E829" s="47" t="str">
        <f>IF(OR(A829="",B829=""),"",MAX(0,MIN(B829,Setup!$B$27+Setup!$B$10)-Setup!$B$10))</f>
        <v/>
      </c>
      <c r="F829" s="47" t="str">
        <f>IF(OR(A829="",B829=""),"",MAX(0,B829-Setup!$B$10))</f>
        <v/>
      </c>
    </row>
    <row r="830" spans="1:6" ht="15" customHeight="1">
      <c r="A830" s="51"/>
      <c r="B830" s="51"/>
      <c r="C830" s="43"/>
      <c r="D830" s="52" t="str">
        <f t="shared" si="12"/>
        <v/>
      </c>
      <c r="E830" s="47" t="str">
        <f>IF(OR(A830="",B830=""),"",MAX(0,MIN(B830,Setup!$B$27+Setup!$B$10)-Setup!$B$10))</f>
        <v/>
      </c>
      <c r="F830" s="47" t="str">
        <f>IF(OR(A830="",B830=""),"",MAX(0,B830-Setup!$B$10))</f>
        <v/>
      </c>
    </row>
    <row r="831" spans="1:6" ht="15" customHeight="1">
      <c r="A831" s="51"/>
      <c r="B831" s="51"/>
      <c r="C831" s="43"/>
      <c r="D831" s="52" t="str">
        <f t="shared" si="12"/>
        <v/>
      </c>
      <c r="E831" s="47" t="str">
        <f>IF(OR(A831="",B831=""),"",MAX(0,MIN(B831,Setup!$B$27+Setup!$B$10)-Setup!$B$10))</f>
        <v/>
      </c>
      <c r="F831" s="47" t="str">
        <f>IF(OR(A831="",B831=""),"",MAX(0,B831-Setup!$B$10))</f>
        <v/>
      </c>
    </row>
    <row r="832" spans="1:6" ht="15" customHeight="1">
      <c r="A832" s="51"/>
      <c r="B832" s="51"/>
      <c r="C832" s="43"/>
      <c r="D832" s="52" t="str">
        <f t="shared" si="12"/>
        <v/>
      </c>
      <c r="E832" s="47" t="str">
        <f>IF(OR(A832="",B832=""),"",MAX(0,MIN(B832,Setup!$B$27+Setup!$B$10)-Setup!$B$10))</f>
        <v/>
      </c>
      <c r="F832" s="47" t="str">
        <f>IF(OR(A832="",B832=""),"",MAX(0,B832-Setup!$B$10))</f>
        <v/>
      </c>
    </row>
    <row r="833" spans="1:6" ht="15" customHeight="1">
      <c r="A833" s="51"/>
      <c r="B833" s="51"/>
      <c r="C833" s="43"/>
      <c r="D833" s="52" t="str">
        <f t="shared" si="12"/>
        <v/>
      </c>
      <c r="E833" s="47" t="str">
        <f>IF(OR(A833="",B833=""),"",MAX(0,MIN(B833,Setup!$B$27+Setup!$B$10)-Setup!$B$10))</f>
        <v/>
      </c>
      <c r="F833" s="47" t="str">
        <f>IF(OR(A833="",B833=""),"",MAX(0,B833-Setup!$B$10))</f>
        <v/>
      </c>
    </row>
    <row r="834" spans="1:6" ht="15" customHeight="1">
      <c r="A834" s="51"/>
      <c r="B834" s="51"/>
      <c r="C834" s="43"/>
      <c r="D834" s="52" t="str">
        <f t="shared" si="12"/>
        <v/>
      </c>
      <c r="E834" s="47" t="str">
        <f>IF(OR(A834="",B834=""),"",MAX(0,MIN(B834,Setup!$B$27+Setup!$B$10)-Setup!$B$10))</f>
        <v/>
      </c>
      <c r="F834" s="47" t="str">
        <f>IF(OR(A834="",B834=""),"",MAX(0,B834-Setup!$B$10))</f>
        <v/>
      </c>
    </row>
    <row r="835" spans="1:6" ht="15" customHeight="1">
      <c r="A835" s="51"/>
      <c r="B835" s="51"/>
      <c r="C835" s="43"/>
      <c r="D835" s="52" t="str">
        <f t="shared" ref="D835:D898" si="13">IF(A835="","",YEAR(A835))</f>
        <v/>
      </c>
      <c r="E835" s="47" t="str">
        <f>IF(OR(A835="",B835=""),"",MAX(0,MIN(B835,Setup!$B$27+Setup!$B$10)-Setup!$B$10))</f>
        <v/>
      </c>
      <c r="F835" s="47" t="str">
        <f>IF(OR(A835="",B835=""),"",MAX(0,B835-Setup!$B$10))</f>
        <v/>
      </c>
    </row>
    <row r="836" spans="1:6" ht="15" customHeight="1">
      <c r="A836" s="51"/>
      <c r="B836" s="51"/>
      <c r="C836" s="43"/>
      <c r="D836" s="52" t="str">
        <f t="shared" si="13"/>
        <v/>
      </c>
      <c r="E836" s="47" t="str">
        <f>IF(OR(A836="",B836=""),"",MAX(0,MIN(B836,Setup!$B$27+Setup!$B$10)-Setup!$B$10))</f>
        <v/>
      </c>
      <c r="F836" s="47" t="str">
        <f>IF(OR(A836="",B836=""),"",MAX(0,B836-Setup!$B$10))</f>
        <v/>
      </c>
    </row>
    <row r="837" spans="1:6" ht="15" customHeight="1">
      <c r="A837" s="51"/>
      <c r="B837" s="51"/>
      <c r="C837" s="43"/>
      <c r="D837" s="52" t="str">
        <f t="shared" si="13"/>
        <v/>
      </c>
      <c r="E837" s="47" t="str">
        <f>IF(OR(A837="",B837=""),"",MAX(0,MIN(B837,Setup!$B$27+Setup!$B$10)-Setup!$B$10))</f>
        <v/>
      </c>
      <c r="F837" s="47" t="str">
        <f>IF(OR(A837="",B837=""),"",MAX(0,B837-Setup!$B$10))</f>
        <v/>
      </c>
    </row>
    <row r="838" spans="1:6" ht="15" customHeight="1">
      <c r="A838" s="51"/>
      <c r="B838" s="51"/>
      <c r="C838" s="43"/>
      <c r="D838" s="52" t="str">
        <f t="shared" si="13"/>
        <v/>
      </c>
      <c r="E838" s="47" t="str">
        <f>IF(OR(A838="",B838=""),"",MAX(0,MIN(B838,Setup!$B$27+Setup!$B$10)-Setup!$B$10))</f>
        <v/>
      </c>
      <c r="F838" s="47" t="str">
        <f>IF(OR(A838="",B838=""),"",MAX(0,B838-Setup!$B$10))</f>
        <v/>
      </c>
    </row>
    <row r="839" spans="1:6" ht="15" customHeight="1">
      <c r="A839" s="51"/>
      <c r="B839" s="51"/>
      <c r="C839" s="43"/>
      <c r="D839" s="52" t="str">
        <f t="shared" si="13"/>
        <v/>
      </c>
      <c r="E839" s="47" t="str">
        <f>IF(OR(A839="",B839=""),"",MAX(0,MIN(B839,Setup!$B$27+Setup!$B$10)-Setup!$B$10))</f>
        <v/>
      </c>
      <c r="F839" s="47" t="str">
        <f>IF(OR(A839="",B839=""),"",MAX(0,B839-Setup!$B$10))</f>
        <v/>
      </c>
    </row>
    <row r="840" spans="1:6" ht="15" customHeight="1">
      <c r="A840" s="51"/>
      <c r="B840" s="51"/>
      <c r="C840" s="43"/>
      <c r="D840" s="52" t="str">
        <f t="shared" si="13"/>
        <v/>
      </c>
      <c r="E840" s="47" t="str">
        <f>IF(OR(A840="",B840=""),"",MAX(0,MIN(B840,Setup!$B$27+Setup!$B$10)-Setup!$B$10))</f>
        <v/>
      </c>
      <c r="F840" s="47" t="str">
        <f>IF(OR(A840="",B840=""),"",MAX(0,B840-Setup!$B$10))</f>
        <v/>
      </c>
    </row>
    <row r="841" spans="1:6" ht="15" customHeight="1">
      <c r="A841" s="51"/>
      <c r="B841" s="51"/>
      <c r="C841" s="43"/>
      <c r="D841" s="52" t="str">
        <f t="shared" si="13"/>
        <v/>
      </c>
      <c r="E841" s="47" t="str">
        <f>IF(OR(A841="",B841=""),"",MAX(0,MIN(B841,Setup!$B$27+Setup!$B$10)-Setup!$B$10))</f>
        <v/>
      </c>
      <c r="F841" s="47" t="str">
        <f>IF(OR(A841="",B841=""),"",MAX(0,B841-Setup!$B$10))</f>
        <v/>
      </c>
    </row>
    <row r="842" spans="1:6" ht="15" customHeight="1">
      <c r="A842" s="51"/>
      <c r="B842" s="51"/>
      <c r="C842" s="43"/>
      <c r="D842" s="52" t="str">
        <f t="shared" si="13"/>
        <v/>
      </c>
      <c r="E842" s="47" t="str">
        <f>IF(OR(A842="",B842=""),"",MAX(0,MIN(B842,Setup!$B$27+Setup!$B$10)-Setup!$B$10))</f>
        <v/>
      </c>
      <c r="F842" s="47" t="str">
        <f>IF(OR(A842="",B842=""),"",MAX(0,B842-Setup!$B$10))</f>
        <v/>
      </c>
    </row>
    <row r="843" spans="1:6" ht="15" customHeight="1">
      <c r="A843" s="51"/>
      <c r="B843" s="51"/>
      <c r="C843" s="43"/>
      <c r="D843" s="52" t="str">
        <f t="shared" si="13"/>
        <v/>
      </c>
      <c r="E843" s="47" t="str">
        <f>IF(OR(A843="",B843=""),"",MAX(0,MIN(B843,Setup!$B$27+Setup!$B$10)-Setup!$B$10))</f>
        <v/>
      </c>
      <c r="F843" s="47" t="str">
        <f>IF(OR(A843="",B843=""),"",MAX(0,B843-Setup!$B$10))</f>
        <v/>
      </c>
    </row>
    <row r="844" spans="1:6" ht="15" customHeight="1">
      <c r="A844" s="51"/>
      <c r="B844" s="51"/>
      <c r="C844" s="43"/>
      <c r="D844" s="52" t="str">
        <f t="shared" si="13"/>
        <v/>
      </c>
      <c r="E844" s="47" t="str">
        <f>IF(OR(A844="",B844=""),"",MAX(0,MIN(B844,Setup!$B$27+Setup!$B$10)-Setup!$B$10))</f>
        <v/>
      </c>
      <c r="F844" s="47" t="str">
        <f>IF(OR(A844="",B844=""),"",MAX(0,B844-Setup!$B$10))</f>
        <v/>
      </c>
    </row>
    <row r="845" spans="1:6" ht="15" customHeight="1">
      <c r="A845" s="51"/>
      <c r="B845" s="51"/>
      <c r="C845" s="43"/>
      <c r="D845" s="52" t="str">
        <f t="shared" si="13"/>
        <v/>
      </c>
      <c r="E845" s="47" t="str">
        <f>IF(OR(A845="",B845=""),"",MAX(0,MIN(B845,Setup!$B$27+Setup!$B$10)-Setup!$B$10))</f>
        <v/>
      </c>
      <c r="F845" s="47" t="str">
        <f>IF(OR(A845="",B845=""),"",MAX(0,B845-Setup!$B$10))</f>
        <v/>
      </c>
    </row>
    <row r="846" spans="1:6" ht="15" customHeight="1">
      <c r="A846" s="51"/>
      <c r="B846" s="51"/>
      <c r="C846" s="43"/>
      <c r="D846" s="52" t="str">
        <f t="shared" si="13"/>
        <v/>
      </c>
      <c r="E846" s="47" t="str">
        <f>IF(OR(A846="",B846=""),"",MAX(0,MIN(B846,Setup!$B$27+Setup!$B$10)-Setup!$B$10))</f>
        <v/>
      </c>
      <c r="F846" s="47" t="str">
        <f>IF(OR(A846="",B846=""),"",MAX(0,B846-Setup!$B$10))</f>
        <v/>
      </c>
    </row>
    <row r="847" spans="1:6" ht="15" customHeight="1">
      <c r="A847" s="51"/>
      <c r="B847" s="51"/>
      <c r="C847" s="43"/>
      <c r="D847" s="52" t="str">
        <f t="shared" si="13"/>
        <v/>
      </c>
      <c r="E847" s="47" t="str">
        <f>IF(OR(A847="",B847=""),"",MAX(0,MIN(B847,Setup!$B$27+Setup!$B$10)-Setup!$B$10))</f>
        <v/>
      </c>
      <c r="F847" s="47" t="str">
        <f>IF(OR(A847="",B847=""),"",MAX(0,B847-Setup!$B$10))</f>
        <v/>
      </c>
    </row>
    <row r="848" spans="1:6" ht="15" customHeight="1">
      <c r="A848" s="51"/>
      <c r="B848" s="51"/>
      <c r="C848" s="43"/>
      <c r="D848" s="52" t="str">
        <f t="shared" si="13"/>
        <v/>
      </c>
      <c r="E848" s="47" t="str">
        <f>IF(OR(A848="",B848=""),"",MAX(0,MIN(B848,Setup!$B$27+Setup!$B$10)-Setup!$B$10))</f>
        <v/>
      </c>
      <c r="F848" s="47" t="str">
        <f>IF(OR(A848="",B848=""),"",MAX(0,B848-Setup!$B$10))</f>
        <v/>
      </c>
    </row>
    <row r="849" spans="1:6" ht="15" customHeight="1">
      <c r="A849" s="51"/>
      <c r="B849" s="51"/>
      <c r="C849" s="43"/>
      <c r="D849" s="52" t="str">
        <f t="shared" si="13"/>
        <v/>
      </c>
      <c r="E849" s="47" t="str">
        <f>IF(OR(A849="",B849=""),"",MAX(0,MIN(B849,Setup!$B$27+Setup!$B$10)-Setup!$B$10))</f>
        <v/>
      </c>
      <c r="F849" s="47" t="str">
        <f>IF(OR(A849="",B849=""),"",MAX(0,B849-Setup!$B$10))</f>
        <v/>
      </c>
    </row>
    <row r="850" spans="1:6" ht="15" customHeight="1">
      <c r="A850" s="51"/>
      <c r="B850" s="51"/>
      <c r="C850" s="43"/>
      <c r="D850" s="52" t="str">
        <f t="shared" si="13"/>
        <v/>
      </c>
      <c r="E850" s="47" t="str">
        <f>IF(OR(A850="",B850=""),"",MAX(0,MIN(B850,Setup!$B$27+Setup!$B$10)-Setup!$B$10))</f>
        <v/>
      </c>
      <c r="F850" s="47" t="str">
        <f>IF(OR(A850="",B850=""),"",MAX(0,B850-Setup!$B$10))</f>
        <v/>
      </c>
    </row>
    <row r="851" spans="1:6" ht="15" customHeight="1">
      <c r="A851" s="51"/>
      <c r="B851" s="51"/>
      <c r="C851" s="43"/>
      <c r="D851" s="52" t="str">
        <f t="shared" si="13"/>
        <v/>
      </c>
      <c r="E851" s="47" t="str">
        <f>IF(OR(A851="",B851=""),"",MAX(0,MIN(B851,Setup!$B$27+Setup!$B$10)-Setup!$B$10))</f>
        <v/>
      </c>
      <c r="F851" s="47" t="str">
        <f>IF(OR(A851="",B851=""),"",MAX(0,B851-Setup!$B$10))</f>
        <v/>
      </c>
    </row>
    <row r="852" spans="1:6" ht="15" customHeight="1">
      <c r="A852" s="51"/>
      <c r="B852" s="51"/>
      <c r="C852" s="43"/>
      <c r="D852" s="52" t="str">
        <f t="shared" si="13"/>
        <v/>
      </c>
      <c r="E852" s="47" t="str">
        <f>IF(OR(A852="",B852=""),"",MAX(0,MIN(B852,Setup!$B$27+Setup!$B$10)-Setup!$B$10))</f>
        <v/>
      </c>
      <c r="F852" s="47" t="str">
        <f>IF(OR(A852="",B852=""),"",MAX(0,B852-Setup!$B$10))</f>
        <v/>
      </c>
    </row>
    <row r="853" spans="1:6" ht="15" customHeight="1">
      <c r="A853" s="51"/>
      <c r="B853" s="51"/>
      <c r="C853" s="43"/>
      <c r="D853" s="52" t="str">
        <f t="shared" si="13"/>
        <v/>
      </c>
      <c r="E853" s="47" t="str">
        <f>IF(OR(A853="",B853=""),"",MAX(0,MIN(B853,Setup!$B$27+Setup!$B$10)-Setup!$B$10))</f>
        <v/>
      </c>
      <c r="F853" s="47" t="str">
        <f>IF(OR(A853="",B853=""),"",MAX(0,B853-Setup!$B$10))</f>
        <v/>
      </c>
    </row>
    <row r="854" spans="1:6" ht="15" customHeight="1">
      <c r="A854" s="51"/>
      <c r="B854" s="51"/>
      <c r="C854" s="43"/>
      <c r="D854" s="52" t="str">
        <f t="shared" si="13"/>
        <v/>
      </c>
      <c r="E854" s="47" t="str">
        <f>IF(OR(A854="",B854=""),"",MAX(0,MIN(B854,Setup!$B$27+Setup!$B$10)-Setup!$B$10))</f>
        <v/>
      </c>
      <c r="F854" s="47" t="str">
        <f>IF(OR(A854="",B854=""),"",MAX(0,B854-Setup!$B$10))</f>
        <v/>
      </c>
    </row>
    <row r="855" spans="1:6" ht="15" customHeight="1">
      <c r="A855" s="51"/>
      <c r="B855" s="51"/>
      <c r="C855" s="43"/>
      <c r="D855" s="52" t="str">
        <f t="shared" si="13"/>
        <v/>
      </c>
      <c r="E855" s="47" t="str">
        <f>IF(OR(A855="",B855=""),"",MAX(0,MIN(B855,Setup!$B$27+Setup!$B$10)-Setup!$B$10))</f>
        <v/>
      </c>
      <c r="F855" s="47" t="str">
        <f>IF(OR(A855="",B855=""),"",MAX(0,B855-Setup!$B$10))</f>
        <v/>
      </c>
    </row>
    <row r="856" spans="1:6" ht="15" customHeight="1">
      <c r="A856" s="51"/>
      <c r="B856" s="51"/>
      <c r="C856" s="43"/>
      <c r="D856" s="52" t="str">
        <f t="shared" si="13"/>
        <v/>
      </c>
      <c r="E856" s="47" t="str">
        <f>IF(OR(A856="",B856=""),"",MAX(0,MIN(B856,Setup!$B$27+Setup!$B$10)-Setup!$B$10))</f>
        <v/>
      </c>
      <c r="F856" s="47" t="str">
        <f>IF(OR(A856="",B856=""),"",MAX(0,B856-Setup!$B$10))</f>
        <v/>
      </c>
    </row>
    <row r="857" spans="1:6" ht="15" customHeight="1">
      <c r="A857" s="51"/>
      <c r="B857" s="51"/>
      <c r="C857" s="43"/>
      <c r="D857" s="52" t="str">
        <f t="shared" si="13"/>
        <v/>
      </c>
      <c r="E857" s="47" t="str">
        <f>IF(OR(A857="",B857=""),"",MAX(0,MIN(B857,Setup!$B$27+Setup!$B$10)-Setup!$B$10))</f>
        <v/>
      </c>
      <c r="F857" s="47" t="str">
        <f>IF(OR(A857="",B857=""),"",MAX(0,B857-Setup!$B$10))</f>
        <v/>
      </c>
    </row>
    <row r="858" spans="1:6" ht="15" customHeight="1">
      <c r="A858" s="51"/>
      <c r="B858" s="51"/>
      <c r="C858" s="43"/>
      <c r="D858" s="52" t="str">
        <f t="shared" si="13"/>
        <v/>
      </c>
      <c r="E858" s="47" t="str">
        <f>IF(OR(A858="",B858=""),"",MAX(0,MIN(B858,Setup!$B$27+Setup!$B$10)-Setup!$B$10))</f>
        <v/>
      </c>
      <c r="F858" s="47" t="str">
        <f>IF(OR(A858="",B858=""),"",MAX(0,B858-Setup!$B$10))</f>
        <v/>
      </c>
    </row>
    <row r="859" spans="1:6" ht="15" customHeight="1">
      <c r="A859" s="51"/>
      <c r="B859" s="51"/>
      <c r="C859" s="43"/>
      <c r="D859" s="52" t="str">
        <f t="shared" si="13"/>
        <v/>
      </c>
      <c r="E859" s="47" t="str">
        <f>IF(OR(A859="",B859=""),"",MAX(0,MIN(B859,Setup!$B$27+Setup!$B$10)-Setup!$B$10))</f>
        <v/>
      </c>
      <c r="F859" s="47" t="str">
        <f>IF(OR(A859="",B859=""),"",MAX(0,B859-Setup!$B$10))</f>
        <v/>
      </c>
    </row>
    <row r="860" spans="1:6" ht="15" customHeight="1">
      <c r="A860" s="51"/>
      <c r="B860" s="51"/>
      <c r="C860" s="43"/>
      <c r="D860" s="52" t="str">
        <f t="shared" si="13"/>
        <v/>
      </c>
      <c r="E860" s="47" t="str">
        <f>IF(OR(A860="",B860=""),"",MAX(0,MIN(B860,Setup!$B$27+Setup!$B$10)-Setup!$B$10))</f>
        <v/>
      </c>
      <c r="F860" s="47" t="str">
        <f>IF(OR(A860="",B860=""),"",MAX(0,B860-Setup!$B$10))</f>
        <v/>
      </c>
    </row>
    <row r="861" spans="1:6" ht="15" customHeight="1">
      <c r="A861" s="51"/>
      <c r="B861" s="51"/>
      <c r="C861" s="43"/>
      <c r="D861" s="52" t="str">
        <f t="shared" si="13"/>
        <v/>
      </c>
      <c r="E861" s="47" t="str">
        <f>IF(OR(A861="",B861=""),"",MAX(0,MIN(B861,Setup!$B$27+Setup!$B$10)-Setup!$B$10))</f>
        <v/>
      </c>
      <c r="F861" s="47" t="str">
        <f>IF(OR(A861="",B861=""),"",MAX(0,B861-Setup!$B$10))</f>
        <v/>
      </c>
    </row>
    <row r="862" spans="1:6" ht="15" customHeight="1">
      <c r="A862" s="51"/>
      <c r="B862" s="51"/>
      <c r="C862" s="43"/>
      <c r="D862" s="52" t="str">
        <f t="shared" si="13"/>
        <v/>
      </c>
      <c r="E862" s="47" t="str">
        <f>IF(OR(A862="",B862=""),"",MAX(0,MIN(B862,Setup!$B$27+Setup!$B$10)-Setup!$B$10))</f>
        <v/>
      </c>
      <c r="F862" s="47" t="str">
        <f>IF(OR(A862="",B862=""),"",MAX(0,B862-Setup!$B$10))</f>
        <v/>
      </c>
    </row>
    <row r="863" spans="1:6" ht="15" customHeight="1">
      <c r="A863" s="51"/>
      <c r="B863" s="51"/>
      <c r="C863" s="43"/>
      <c r="D863" s="52" t="str">
        <f t="shared" si="13"/>
        <v/>
      </c>
      <c r="E863" s="47" t="str">
        <f>IF(OR(A863="",B863=""),"",MAX(0,MIN(B863,Setup!$B$27+Setup!$B$10)-Setup!$B$10))</f>
        <v/>
      </c>
      <c r="F863" s="47" t="str">
        <f>IF(OR(A863="",B863=""),"",MAX(0,B863-Setup!$B$10))</f>
        <v/>
      </c>
    </row>
    <row r="864" spans="1:6" ht="15" customHeight="1">
      <c r="A864" s="51"/>
      <c r="B864" s="51"/>
      <c r="C864" s="43"/>
      <c r="D864" s="52" t="str">
        <f t="shared" si="13"/>
        <v/>
      </c>
      <c r="E864" s="47" t="str">
        <f>IF(OR(A864="",B864=""),"",MAX(0,MIN(B864,Setup!$B$27+Setup!$B$10)-Setup!$B$10))</f>
        <v/>
      </c>
      <c r="F864" s="47" t="str">
        <f>IF(OR(A864="",B864=""),"",MAX(0,B864-Setup!$B$10))</f>
        <v/>
      </c>
    </row>
    <row r="865" spans="1:6" ht="15" customHeight="1">
      <c r="A865" s="51"/>
      <c r="B865" s="51"/>
      <c r="C865" s="43"/>
      <c r="D865" s="52" t="str">
        <f t="shared" si="13"/>
        <v/>
      </c>
      <c r="E865" s="47" t="str">
        <f>IF(OR(A865="",B865=""),"",MAX(0,MIN(B865,Setup!$B$27+Setup!$B$10)-Setup!$B$10))</f>
        <v/>
      </c>
      <c r="F865" s="47" t="str">
        <f>IF(OR(A865="",B865=""),"",MAX(0,B865-Setup!$B$10))</f>
        <v/>
      </c>
    </row>
    <row r="866" spans="1:6" ht="15" customHeight="1">
      <c r="A866" s="51"/>
      <c r="B866" s="51"/>
      <c r="C866" s="43"/>
      <c r="D866" s="52" t="str">
        <f t="shared" si="13"/>
        <v/>
      </c>
      <c r="E866" s="47" t="str">
        <f>IF(OR(A866="",B866=""),"",MAX(0,MIN(B866,Setup!$B$27+Setup!$B$10)-Setup!$B$10))</f>
        <v/>
      </c>
      <c r="F866" s="47" t="str">
        <f>IF(OR(A866="",B866=""),"",MAX(0,B866-Setup!$B$10))</f>
        <v/>
      </c>
    </row>
    <row r="867" spans="1:6" ht="15" customHeight="1">
      <c r="A867" s="51"/>
      <c r="B867" s="51"/>
      <c r="C867" s="43"/>
      <c r="D867" s="52" t="str">
        <f t="shared" si="13"/>
        <v/>
      </c>
      <c r="E867" s="47" t="str">
        <f>IF(OR(A867="",B867=""),"",MAX(0,MIN(B867,Setup!$B$27+Setup!$B$10)-Setup!$B$10))</f>
        <v/>
      </c>
      <c r="F867" s="47" t="str">
        <f>IF(OR(A867="",B867=""),"",MAX(0,B867-Setup!$B$10))</f>
        <v/>
      </c>
    </row>
    <row r="868" spans="1:6" ht="15" customHeight="1">
      <c r="A868" s="51"/>
      <c r="B868" s="51"/>
      <c r="C868" s="43"/>
      <c r="D868" s="52" t="str">
        <f t="shared" si="13"/>
        <v/>
      </c>
      <c r="E868" s="47" t="str">
        <f>IF(OR(A868="",B868=""),"",MAX(0,MIN(B868,Setup!$B$27+Setup!$B$10)-Setup!$B$10))</f>
        <v/>
      </c>
      <c r="F868" s="47" t="str">
        <f>IF(OR(A868="",B868=""),"",MAX(0,B868-Setup!$B$10))</f>
        <v/>
      </c>
    </row>
    <row r="869" spans="1:6" ht="15" customHeight="1">
      <c r="A869" s="51"/>
      <c r="B869" s="51"/>
      <c r="C869" s="43"/>
      <c r="D869" s="52" t="str">
        <f t="shared" si="13"/>
        <v/>
      </c>
      <c r="E869" s="47" t="str">
        <f>IF(OR(A869="",B869=""),"",MAX(0,MIN(B869,Setup!$B$27+Setup!$B$10)-Setup!$B$10))</f>
        <v/>
      </c>
      <c r="F869" s="47" t="str">
        <f>IF(OR(A869="",B869=""),"",MAX(0,B869-Setup!$B$10))</f>
        <v/>
      </c>
    </row>
    <row r="870" spans="1:6" ht="15" customHeight="1">
      <c r="A870" s="51"/>
      <c r="B870" s="51"/>
      <c r="C870" s="43"/>
      <c r="D870" s="52" t="str">
        <f t="shared" si="13"/>
        <v/>
      </c>
      <c r="E870" s="47" t="str">
        <f>IF(OR(A870="",B870=""),"",MAX(0,MIN(B870,Setup!$B$27+Setup!$B$10)-Setup!$B$10))</f>
        <v/>
      </c>
      <c r="F870" s="47" t="str">
        <f>IF(OR(A870="",B870=""),"",MAX(0,B870-Setup!$B$10))</f>
        <v/>
      </c>
    </row>
    <row r="871" spans="1:6" ht="15" customHeight="1">
      <c r="A871" s="51"/>
      <c r="B871" s="51"/>
      <c r="C871" s="43"/>
      <c r="D871" s="52" t="str">
        <f t="shared" si="13"/>
        <v/>
      </c>
      <c r="E871" s="47" t="str">
        <f>IF(OR(A871="",B871=""),"",MAX(0,MIN(B871,Setup!$B$27+Setup!$B$10)-Setup!$B$10))</f>
        <v/>
      </c>
      <c r="F871" s="47" t="str">
        <f>IF(OR(A871="",B871=""),"",MAX(0,B871-Setup!$B$10))</f>
        <v/>
      </c>
    </row>
    <row r="872" spans="1:6" ht="15" customHeight="1">
      <c r="A872" s="51"/>
      <c r="B872" s="51"/>
      <c r="C872" s="43"/>
      <c r="D872" s="52" t="str">
        <f t="shared" si="13"/>
        <v/>
      </c>
      <c r="E872" s="47" t="str">
        <f>IF(OR(A872="",B872=""),"",MAX(0,MIN(B872,Setup!$B$27+Setup!$B$10)-Setup!$B$10))</f>
        <v/>
      </c>
      <c r="F872" s="47" t="str">
        <f>IF(OR(A872="",B872=""),"",MAX(0,B872-Setup!$B$10))</f>
        <v/>
      </c>
    </row>
    <row r="873" spans="1:6" ht="15" customHeight="1">
      <c r="A873" s="51"/>
      <c r="B873" s="51"/>
      <c r="C873" s="43"/>
      <c r="D873" s="52" t="str">
        <f t="shared" si="13"/>
        <v/>
      </c>
      <c r="E873" s="47" t="str">
        <f>IF(OR(A873="",B873=""),"",MAX(0,MIN(B873,Setup!$B$27+Setup!$B$10)-Setup!$B$10))</f>
        <v/>
      </c>
      <c r="F873" s="47" t="str">
        <f>IF(OR(A873="",B873=""),"",MAX(0,B873-Setup!$B$10))</f>
        <v/>
      </c>
    </row>
    <row r="874" spans="1:6" ht="15" customHeight="1">
      <c r="A874" s="51"/>
      <c r="B874" s="51"/>
      <c r="C874" s="43"/>
      <c r="D874" s="52" t="str">
        <f t="shared" si="13"/>
        <v/>
      </c>
      <c r="E874" s="47" t="str">
        <f>IF(OR(A874="",B874=""),"",MAX(0,MIN(B874,Setup!$B$27+Setup!$B$10)-Setup!$B$10))</f>
        <v/>
      </c>
      <c r="F874" s="47" t="str">
        <f>IF(OR(A874="",B874=""),"",MAX(0,B874-Setup!$B$10))</f>
        <v/>
      </c>
    </row>
    <row r="875" spans="1:6" ht="15" customHeight="1">
      <c r="A875" s="51"/>
      <c r="B875" s="51"/>
      <c r="C875" s="43"/>
      <c r="D875" s="52" t="str">
        <f t="shared" si="13"/>
        <v/>
      </c>
      <c r="E875" s="47" t="str">
        <f>IF(OR(A875="",B875=""),"",MAX(0,MIN(B875,Setup!$B$27+Setup!$B$10)-Setup!$B$10))</f>
        <v/>
      </c>
      <c r="F875" s="47" t="str">
        <f>IF(OR(A875="",B875=""),"",MAX(0,B875-Setup!$B$10))</f>
        <v/>
      </c>
    </row>
    <row r="876" spans="1:6" ht="15" customHeight="1">
      <c r="A876" s="51"/>
      <c r="B876" s="51"/>
      <c r="C876" s="43"/>
      <c r="D876" s="52" t="str">
        <f t="shared" si="13"/>
        <v/>
      </c>
      <c r="E876" s="47" t="str">
        <f>IF(OR(A876="",B876=""),"",MAX(0,MIN(B876,Setup!$B$27+Setup!$B$10)-Setup!$B$10))</f>
        <v/>
      </c>
      <c r="F876" s="47" t="str">
        <f>IF(OR(A876="",B876=""),"",MAX(0,B876-Setup!$B$10))</f>
        <v/>
      </c>
    </row>
    <row r="877" spans="1:6" ht="15" customHeight="1">
      <c r="A877" s="51"/>
      <c r="B877" s="51"/>
      <c r="C877" s="43"/>
      <c r="D877" s="52" t="str">
        <f t="shared" si="13"/>
        <v/>
      </c>
      <c r="E877" s="47" t="str">
        <f>IF(OR(A877="",B877=""),"",MAX(0,MIN(B877,Setup!$B$27+Setup!$B$10)-Setup!$B$10))</f>
        <v/>
      </c>
      <c r="F877" s="47" t="str">
        <f>IF(OR(A877="",B877=""),"",MAX(0,B877-Setup!$B$10))</f>
        <v/>
      </c>
    </row>
    <row r="878" spans="1:6" ht="15" customHeight="1">
      <c r="A878" s="51"/>
      <c r="B878" s="51"/>
      <c r="C878" s="43"/>
      <c r="D878" s="52" t="str">
        <f t="shared" si="13"/>
        <v/>
      </c>
      <c r="E878" s="47" t="str">
        <f>IF(OR(A878="",B878=""),"",MAX(0,MIN(B878,Setup!$B$27+Setup!$B$10)-Setup!$B$10))</f>
        <v/>
      </c>
      <c r="F878" s="47" t="str">
        <f>IF(OR(A878="",B878=""),"",MAX(0,B878-Setup!$B$10))</f>
        <v/>
      </c>
    </row>
    <row r="879" spans="1:6" ht="15" customHeight="1">
      <c r="A879" s="51"/>
      <c r="B879" s="51"/>
      <c r="C879" s="43"/>
      <c r="D879" s="52" t="str">
        <f t="shared" si="13"/>
        <v/>
      </c>
      <c r="E879" s="47" t="str">
        <f>IF(OR(A879="",B879=""),"",MAX(0,MIN(B879,Setup!$B$27+Setup!$B$10)-Setup!$B$10))</f>
        <v/>
      </c>
      <c r="F879" s="47" t="str">
        <f>IF(OR(A879="",B879=""),"",MAX(0,B879-Setup!$B$10))</f>
        <v/>
      </c>
    </row>
    <row r="880" spans="1:6" ht="15" customHeight="1">
      <c r="A880" s="51"/>
      <c r="B880" s="51"/>
      <c r="C880" s="43"/>
      <c r="D880" s="52" t="str">
        <f t="shared" si="13"/>
        <v/>
      </c>
      <c r="E880" s="47" t="str">
        <f>IF(OR(A880="",B880=""),"",MAX(0,MIN(B880,Setup!$B$27+Setup!$B$10)-Setup!$B$10))</f>
        <v/>
      </c>
      <c r="F880" s="47" t="str">
        <f>IF(OR(A880="",B880=""),"",MAX(0,B880-Setup!$B$10))</f>
        <v/>
      </c>
    </row>
    <row r="881" spans="1:6" ht="15" customHeight="1">
      <c r="A881" s="51"/>
      <c r="B881" s="51"/>
      <c r="C881" s="43"/>
      <c r="D881" s="52" t="str">
        <f t="shared" si="13"/>
        <v/>
      </c>
      <c r="E881" s="47" t="str">
        <f>IF(OR(A881="",B881=""),"",MAX(0,MIN(B881,Setup!$B$27+Setup!$B$10)-Setup!$B$10))</f>
        <v/>
      </c>
      <c r="F881" s="47" t="str">
        <f>IF(OR(A881="",B881=""),"",MAX(0,B881-Setup!$B$10))</f>
        <v/>
      </c>
    </row>
    <row r="882" spans="1:6" ht="15" customHeight="1">
      <c r="A882" s="51"/>
      <c r="B882" s="51"/>
      <c r="C882" s="43"/>
      <c r="D882" s="52" t="str">
        <f t="shared" si="13"/>
        <v/>
      </c>
      <c r="E882" s="47" t="str">
        <f>IF(OR(A882="",B882=""),"",MAX(0,MIN(B882,Setup!$B$27+Setup!$B$10)-Setup!$B$10))</f>
        <v/>
      </c>
      <c r="F882" s="47" t="str">
        <f>IF(OR(A882="",B882=""),"",MAX(0,B882-Setup!$B$10))</f>
        <v/>
      </c>
    </row>
    <row r="883" spans="1:6" ht="15" customHeight="1">
      <c r="A883" s="51"/>
      <c r="B883" s="51"/>
      <c r="C883" s="43"/>
      <c r="D883" s="52" t="str">
        <f t="shared" si="13"/>
        <v/>
      </c>
      <c r="E883" s="47" t="str">
        <f>IF(OR(A883="",B883=""),"",MAX(0,MIN(B883,Setup!$B$27+Setup!$B$10)-Setup!$B$10))</f>
        <v/>
      </c>
      <c r="F883" s="47" t="str">
        <f>IF(OR(A883="",B883=""),"",MAX(0,B883-Setup!$B$10))</f>
        <v/>
      </c>
    </row>
    <row r="884" spans="1:6" ht="15" customHeight="1">
      <c r="A884" s="51"/>
      <c r="B884" s="51"/>
      <c r="C884" s="43"/>
      <c r="D884" s="52" t="str">
        <f t="shared" si="13"/>
        <v/>
      </c>
      <c r="E884" s="47" t="str">
        <f>IF(OR(A884="",B884=""),"",MAX(0,MIN(B884,Setup!$B$27+Setup!$B$10)-Setup!$B$10))</f>
        <v/>
      </c>
      <c r="F884" s="47" t="str">
        <f>IF(OR(A884="",B884=""),"",MAX(0,B884-Setup!$B$10))</f>
        <v/>
      </c>
    </row>
    <row r="885" spans="1:6" ht="15" customHeight="1">
      <c r="A885" s="51"/>
      <c r="B885" s="51"/>
      <c r="C885" s="43"/>
      <c r="D885" s="52" t="str">
        <f t="shared" si="13"/>
        <v/>
      </c>
      <c r="E885" s="47" t="str">
        <f>IF(OR(A885="",B885=""),"",MAX(0,MIN(B885,Setup!$B$27+Setup!$B$10)-Setup!$B$10))</f>
        <v/>
      </c>
      <c r="F885" s="47" t="str">
        <f>IF(OR(A885="",B885=""),"",MAX(0,B885-Setup!$B$10))</f>
        <v/>
      </c>
    </row>
    <row r="886" spans="1:6" ht="15" customHeight="1">
      <c r="A886" s="51"/>
      <c r="B886" s="51"/>
      <c r="C886" s="43"/>
      <c r="D886" s="52" t="str">
        <f t="shared" si="13"/>
        <v/>
      </c>
      <c r="E886" s="47" t="str">
        <f>IF(OR(A886="",B886=""),"",MAX(0,MIN(B886,Setup!$B$27+Setup!$B$10)-Setup!$B$10))</f>
        <v/>
      </c>
      <c r="F886" s="47" t="str">
        <f>IF(OR(A886="",B886=""),"",MAX(0,B886-Setup!$B$10))</f>
        <v/>
      </c>
    </row>
    <row r="887" spans="1:6" ht="15" customHeight="1">
      <c r="A887" s="51"/>
      <c r="B887" s="51"/>
      <c r="C887" s="43"/>
      <c r="D887" s="52" t="str">
        <f t="shared" si="13"/>
        <v/>
      </c>
      <c r="E887" s="47" t="str">
        <f>IF(OR(A887="",B887=""),"",MAX(0,MIN(B887,Setup!$B$27+Setup!$B$10)-Setup!$B$10))</f>
        <v/>
      </c>
      <c r="F887" s="47" t="str">
        <f>IF(OR(A887="",B887=""),"",MAX(0,B887-Setup!$B$10))</f>
        <v/>
      </c>
    </row>
    <row r="888" spans="1:6" ht="15" customHeight="1">
      <c r="A888" s="51"/>
      <c r="B888" s="51"/>
      <c r="C888" s="43"/>
      <c r="D888" s="52" t="str">
        <f t="shared" si="13"/>
        <v/>
      </c>
      <c r="E888" s="47" t="str">
        <f>IF(OR(A888="",B888=""),"",MAX(0,MIN(B888,Setup!$B$27+Setup!$B$10)-Setup!$B$10))</f>
        <v/>
      </c>
      <c r="F888" s="47" t="str">
        <f>IF(OR(A888="",B888=""),"",MAX(0,B888-Setup!$B$10))</f>
        <v/>
      </c>
    </row>
    <row r="889" spans="1:6" ht="15" customHeight="1">
      <c r="A889" s="51"/>
      <c r="B889" s="51"/>
      <c r="C889" s="43"/>
      <c r="D889" s="52" t="str">
        <f t="shared" si="13"/>
        <v/>
      </c>
      <c r="E889" s="47" t="str">
        <f>IF(OR(A889="",B889=""),"",MAX(0,MIN(B889,Setup!$B$27+Setup!$B$10)-Setup!$B$10))</f>
        <v/>
      </c>
      <c r="F889" s="47" t="str">
        <f>IF(OR(A889="",B889=""),"",MAX(0,B889-Setup!$B$10))</f>
        <v/>
      </c>
    </row>
    <row r="890" spans="1:6" ht="15" customHeight="1">
      <c r="A890" s="51"/>
      <c r="B890" s="51"/>
      <c r="C890" s="43"/>
      <c r="D890" s="52" t="str">
        <f t="shared" si="13"/>
        <v/>
      </c>
      <c r="E890" s="47" t="str">
        <f>IF(OR(A890="",B890=""),"",MAX(0,MIN(B890,Setup!$B$27+Setup!$B$10)-Setup!$B$10))</f>
        <v/>
      </c>
      <c r="F890" s="47" t="str">
        <f>IF(OR(A890="",B890=""),"",MAX(0,B890-Setup!$B$10))</f>
        <v/>
      </c>
    </row>
    <row r="891" spans="1:6" ht="15" customHeight="1">
      <c r="A891" s="51"/>
      <c r="B891" s="51"/>
      <c r="C891" s="43"/>
      <c r="D891" s="52" t="str">
        <f t="shared" si="13"/>
        <v/>
      </c>
      <c r="E891" s="47" t="str">
        <f>IF(OR(A891="",B891=""),"",MAX(0,MIN(B891,Setup!$B$27+Setup!$B$10)-Setup!$B$10))</f>
        <v/>
      </c>
      <c r="F891" s="47" t="str">
        <f>IF(OR(A891="",B891=""),"",MAX(0,B891-Setup!$B$10))</f>
        <v/>
      </c>
    </row>
    <row r="892" spans="1:6" ht="15" customHeight="1">
      <c r="A892" s="51"/>
      <c r="B892" s="51"/>
      <c r="C892" s="43"/>
      <c r="D892" s="52" t="str">
        <f t="shared" si="13"/>
        <v/>
      </c>
      <c r="E892" s="47" t="str">
        <f>IF(OR(A892="",B892=""),"",MAX(0,MIN(B892,Setup!$B$27+Setup!$B$10)-Setup!$B$10))</f>
        <v/>
      </c>
      <c r="F892" s="47" t="str">
        <f>IF(OR(A892="",B892=""),"",MAX(0,B892-Setup!$B$10))</f>
        <v/>
      </c>
    </row>
    <row r="893" spans="1:6" ht="15" customHeight="1">
      <c r="A893" s="51"/>
      <c r="B893" s="51"/>
      <c r="C893" s="43"/>
      <c r="D893" s="52" t="str">
        <f t="shared" si="13"/>
        <v/>
      </c>
      <c r="E893" s="47" t="str">
        <f>IF(OR(A893="",B893=""),"",MAX(0,MIN(B893,Setup!$B$27+Setup!$B$10)-Setup!$B$10))</f>
        <v/>
      </c>
      <c r="F893" s="47" t="str">
        <f>IF(OR(A893="",B893=""),"",MAX(0,B893-Setup!$B$10))</f>
        <v/>
      </c>
    </row>
    <row r="894" spans="1:6" ht="15" customHeight="1">
      <c r="A894" s="51"/>
      <c r="B894" s="51"/>
      <c r="C894" s="43"/>
      <c r="D894" s="52" t="str">
        <f t="shared" si="13"/>
        <v/>
      </c>
      <c r="E894" s="47" t="str">
        <f>IF(OR(A894="",B894=""),"",MAX(0,MIN(B894,Setup!$B$27+Setup!$B$10)-Setup!$B$10))</f>
        <v/>
      </c>
      <c r="F894" s="47" t="str">
        <f>IF(OR(A894="",B894=""),"",MAX(0,B894-Setup!$B$10))</f>
        <v/>
      </c>
    </row>
    <row r="895" spans="1:6" ht="15" customHeight="1">
      <c r="A895" s="51"/>
      <c r="B895" s="51"/>
      <c r="C895" s="43"/>
      <c r="D895" s="52" t="str">
        <f t="shared" si="13"/>
        <v/>
      </c>
      <c r="E895" s="47" t="str">
        <f>IF(OR(A895="",B895=""),"",MAX(0,MIN(B895,Setup!$B$27+Setup!$B$10)-Setup!$B$10))</f>
        <v/>
      </c>
      <c r="F895" s="47" t="str">
        <f>IF(OR(A895="",B895=""),"",MAX(0,B895-Setup!$B$10))</f>
        <v/>
      </c>
    </row>
    <row r="896" spans="1:6" ht="15" customHeight="1">
      <c r="A896" s="51"/>
      <c r="B896" s="51"/>
      <c r="C896" s="43"/>
      <c r="D896" s="52" t="str">
        <f t="shared" si="13"/>
        <v/>
      </c>
      <c r="E896" s="47" t="str">
        <f>IF(OR(A896="",B896=""),"",MAX(0,MIN(B896,Setup!$B$27+Setup!$B$10)-Setup!$B$10))</f>
        <v/>
      </c>
      <c r="F896" s="47" t="str">
        <f>IF(OR(A896="",B896=""),"",MAX(0,B896-Setup!$B$10))</f>
        <v/>
      </c>
    </row>
    <row r="897" spans="1:6" ht="15" customHeight="1">
      <c r="A897" s="51"/>
      <c r="B897" s="51"/>
      <c r="C897" s="43"/>
      <c r="D897" s="52" t="str">
        <f t="shared" si="13"/>
        <v/>
      </c>
      <c r="E897" s="47" t="str">
        <f>IF(OR(A897="",B897=""),"",MAX(0,MIN(B897,Setup!$B$27+Setup!$B$10)-Setup!$B$10))</f>
        <v/>
      </c>
      <c r="F897" s="47" t="str">
        <f>IF(OR(A897="",B897=""),"",MAX(0,B897-Setup!$B$10))</f>
        <v/>
      </c>
    </row>
    <row r="898" spans="1:6" ht="15" customHeight="1">
      <c r="A898" s="51"/>
      <c r="B898" s="51"/>
      <c r="C898" s="43"/>
      <c r="D898" s="52" t="str">
        <f t="shared" si="13"/>
        <v/>
      </c>
      <c r="E898" s="47" t="str">
        <f>IF(OR(A898="",B898=""),"",MAX(0,MIN(B898,Setup!$B$27+Setup!$B$10)-Setup!$B$10))</f>
        <v/>
      </c>
      <c r="F898" s="47" t="str">
        <f>IF(OR(A898="",B898=""),"",MAX(0,B898-Setup!$B$10))</f>
        <v/>
      </c>
    </row>
    <row r="899" spans="1:6" ht="15" customHeight="1">
      <c r="A899" s="51"/>
      <c r="B899" s="51"/>
      <c r="C899" s="43"/>
      <c r="D899" s="52" t="str">
        <f t="shared" ref="D899:D962" si="14">IF(A899="","",YEAR(A899))</f>
        <v/>
      </c>
      <c r="E899" s="47" t="str">
        <f>IF(OR(A899="",B899=""),"",MAX(0,MIN(B899,Setup!$B$27+Setup!$B$10)-Setup!$B$10))</f>
        <v/>
      </c>
      <c r="F899" s="47" t="str">
        <f>IF(OR(A899="",B899=""),"",MAX(0,B899-Setup!$B$10))</f>
        <v/>
      </c>
    </row>
    <row r="900" spans="1:6" ht="15" customHeight="1">
      <c r="A900" s="51"/>
      <c r="B900" s="51"/>
      <c r="C900" s="43"/>
      <c r="D900" s="52" t="str">
        <f t="shared" si="14"/>
        <v/>
      </c>
      <c r="E900" s="47" t="str">
        <f>IF(OR(A900="",B900=""),"",MAX(0,MIN(B900,Setup!$B$27+Setup!$B$10)-Setup!$B$10))</f>
        <v/>
      </c>
      <c r="F900" s="47" t="str">
        <f>IF(OR(A900="",B900=""),"",MAX(0,B900-Setup!$B$10))</f>
        <v/>
      </c>
    </row>
    <row r="901" spans="1:6" ht="15" customHeight="1">
      <c r="A901" s="51"/>
      <c r="B901" s="51"/>
      <c r="C901" s="43"/>
      <c r="D901" s="52" t="str">
        <f t="shared" si="14"/>
        <v/>
      </c>
      <c r="E901" s="47" t="str">
        <f>IF(OR(A901="",B901=""),"",MAX(0,MIN(B901,Setup!$B$27+Setup!$B$10)-Setup!$B$10))</f>
        <v/>
      </c>
      <c r="F901" s="47" t="str">
        <f>IF(OR(A901="",B901=""),"",MAX(0,B901-Setup!$B$10))</f>
        <v/>
      </c>
    </row>
    <row r="902" spans="1:6" ht="15" customHeight="1">
      <c r="A902" s="51"/>
      <c r="B902" s="51"/>
      <c r="C902" s="43"/>
      <c r="D902" s="52" t="str">
        <f t="shared" si="14"/>
        <v/>
      </c>
      <c r="E902" s="47" t="str">
        <f>IF(OR(A902="",B902=""),"",MAX(0,MIN(B902,Setup!$B$27+Setup!$B$10)-Setup!$B$10))</f>
        <v/>
      </c>
      <c r="F902" s="47" t="str">
        <f>IF(OR(A902="",B902=""),"",MAX(0,B902-Setup!$B$10))</f>
        <v/>
      </c>
    </row>
    <row r="903" spans="1:6" ht="15" customHeight="1">
      <c r="A903" s="51"/>
      <c r="B903" s="51"/>
      <c r="C903" s="43"/>
      <c r="D903" s="52" t="str">
        <f t="shared" si="14"/>
        <v/>
      </c>
      <c r="E903" s="47" t="str">
        <f>IF(OR(A903="",B903=""),"",MAX(0,MIN(B903,Setup!$B$27+Setup!$B$10)-Setup!$B$10))</f>
        <v/>
      </c>
      <c r="F903" s="47" t="str">
        <f>IF(OR(A903="",B903=""),"",MAX(0,B903-Setup!$B$10))</f>
        <v/>
      </c>
    </row>
    <row r="904" spans="1:6" ht="15" customHeight="1">
      <c r="A904" s="51"/>
      <c r="B904" s="51"/>
      <c r="C904" s="43"/>
      <c r="D904" s="52" t="str">
        <f t="shared" si="14"/>
        <v/>
      </c>
      <c r="E904" s="47" t="str">
        <f>IF(OR(A904="",B904=""),"",MAX(0,MIN(B904,Setup!$B$27+Setup!$B$10)-Setup!$B$10))</f>
        <v/>
      </c>
      <c r="F904" s="47" t="str">
        <f>IF(OR(A904="",B904=""),"",MAX(0,B904-Setup!$B$10))</f>
        <v/>
      </c>
    </row>
    <row r="905" spans="1:6" ht="15" customHeight="1">
      <c r="A905" s="51"/>
      <c r="B905" s="51"/>
      <c r="C905" s="43"/>
      <c r="D905" s="52" t="str">
        <f t="shared" si="14"/>
        <v/>
      </c>
      <c r="E905" s="47" t="str">
        <f>IF(OR(A905="",B905=""),"",MAX(0,MIN(B905,Setup!$B$27+Setup!$B$10)-Setup!$B$10))</f>
        <v/>
      </c>
      <c r="F905" s="47" t="str">
        <f>IF(OR(A905="",B905=""),"",MAX(0,B905-Setup!$B$10))</f>
        <v/>
      </c>
    </row>
    <row r="906" spans="1:6" ht="15" customHeight="1">
      <c r="A906" s="51"/>
      <c r="B906" s="51"/>
      <c r="C906" s="43"/>
      <c r="D906" s="52" t="str">
        <f t="shared" si="14"/>
        <v/>
      </c>
      <c r="E906" s="47" t="str">
        <f>IF(OR(A906="",B906=""),"",MAX(0,MIN(B906,Setup!$B$27+Setup!$B$10)-Setup!$B$10))</f>
        <v/>
      </c>
      <c r="F906" s="47" t="str">
        <f>IF(OR(A906="",B906=""),"",MAX(0,B906-Setup!$B$10))</f>
        <v/>
      </c>
    </row>
    <row r="907" spans="1:6" ht="15" customHeight="1">
      <c r="A907" s="51"/>
      <c r="B907" s="51"/>
      <c r="C907" s="43"/>
      <c r="D907" s="52" t="str">
        <f t="shared" si="14"/>
        <v/>
      </c>
      <c r="E907" s="47" t="str">
        <f>IF(OR(A907="",B907=""),"",MAX(0,MIN(B907,Setup!$B$27+Setup!$B$10)-Setup!$B$10))</f>
        <v/>
      </c>
      <c r="F907" s="47" t="str">
        <f>IF(OR(A907="",B907=""),"",MAX(0,B907-Setup!$B$10))</f>
        <v/>
      </c>
    </row>
    <row r="908" spans="1:6" ht="15" customHeight="1">
      <c r="A908" s="51"/>
      <c r="B908" s="51"/>
      <c r="C908" s="43"/>
      <c r="D908" s="52" t="str">
        <f t="shared" si="14"/>
        <v/>
      </c>
      <c r="E908" s="47" t="str">
        <f>IF(OR(A908="",B908=""),"",MAX(0,MIN(B908,Setup!$B$27+Setup!$B$10)-Setup!$B$10))</f>
        <v/>
      </c>
      <c r="F908" s="47" t="str">
        <f>IF(OR(A908="",B908=""),"",MAX(0,B908-Setup!$B$10))</f>
        <v/>
      </c>
    </row>
    <row r="909" spans="1:6" ht="15" customHeight="1">
      <c r="A909" s="51"/>
      <c r="B909" s="51"/>
      <c r="C909" s="43"/>
      <c r="D909" s="52" t="str">
        <f t="shared" si="14"/>
        <v/>
      </c>
      <c r="E909" s="47" t="str">
        <f>IF(OR(A909="",B909=""),"",MAX(0,MIN(B909,Setup!$B$27+Setup!$B$10)-Setup!$B$10))</f>
        <v/>
      </c>
      <c r="F909" s="47" t="str">
        <f>IF(OR(A909="",B909=""),"",MAX(0,B909-Setup!$B$10))</f>
        <v/>
      </c>
    </row>
    <row r="910" spans="1:6" ht="15" customHeight="1">
      <c r="A910" s="51"/>
      <c r="B910" s="51"/>
      <c r="C910" s="43"/>
      <c r="D910" s="52" t="str">
        <f t="shared" si="14"/>
        <v/>
      </c>
      <c r="E910" s="47" t="str">
        <f>IF(OR(A910="",B910=""),"",MAX(0,MIN(B910,Setup!$B$27+Setup!$B$10)-Setup!$B$10))</f>
        <v/>
      </c>
      <c r="F910" s="47" t="str">
        <f>IF(OR(A910="",B910=""),"",MAX(0,B910-Setup!$B$10))</f>
        <v/>
      </c>
    </row>
    <row r="911" spans="1:6" ht="15" customHeight="1">
      <c r="A911" s="51"/>
      <c r="B911" s="51"/>
      <c r="C911" s="43"/>
      <c r="D911" s="52" t="str">
        <f t="shared" si="14"/>
        <v/>
      </c>
      <c r="E911" s="47" t="str">
        <f>IF(OR(A911="",B911=""),"",MAX(0,MIN(B911,Setup!$B$27+Setup!$B$10)-Setup!$B$10))</f>
        <v/>
      </c>
      <c r="F911" s="47" t="str">
        <f>IF(OR(A911="",B911=""),"",MAX(0,B911-Setup!$B$10))</f>
        <v/>
      </c>
    </row>
    <row r="912" spans="1:6" ht="15" customHeight="1">
      <c r="A912" s="51"/>
      <c r="B912" s="51"/>
      <c r="C912" s="43"/>
      <c r="D912" s="52" t="str">
        <f t="shared" si="14"/>
        <v/>
      </c>
      <c r="E912" s="47" t="str">
        <f>IF(OR(A912="",B912=""),"",MAX(0,MIN(B912,Setup!$B$27+Setup!$B$10)-Setup!$B$10))</f>
        <v/>
      </c>
      <c r="F912" s="47" t="str">
        <f>IF(OR(A912="",B912=""),"",MAX(0,B912-Setup!$B$10))</f>
        <v/>
      </c>
    </row>
    <row r="913" spans="1:6" ht="15" customHeight="1">
      <c r="A913" s="51"/>
      <c r="B913" s="51"/>
      <c r="C913" s="43"/>
      <c r="D913" s="52" t="str">
        <f t="shared" si="14"/>
        <v/>
      </c>
      <c r="E913" s="47" t="str">
        <f>IF(OR(A913="",B913=""),"",MAX(0,MIN(B913,Setup!$B$27+Setup!$B$10)-Setup!$B$10))</f>
        <v/>
      </c>
      <c r="F913" s="47" t="str">
        <f>IF(OR(A913="",B913=""),"",MAX(0,B913-Setup!$B$10))</f>
        <v/>
      </c>
    </row>
    <row r="914" spans="1:6" ht="15" customHeight="1">
      <c r="A914" s="51"/>
      <c r="B914" s="51"/>
      <c r="C914" s="43"/>
      <c r="D914" s="52" t="str">
        <f t="shared" si="14"/>
        <v/>
      </c>
      <c r="E914" s="47" t="str">
        <f>IF(OR(A914="",B914=""),"",MAX(0,MIN(B914,Setup!$B$27+Setup!$B$10)-Setup!$B$10))</f>
        <v/>
      </c>
      <c r="F914" s="47" t="str">
        <f>IF(OR(A914="",B914=""),"",MAX(0,B914-Setup!$B$10))</f>
        <v/>
      </c>
    </row>
    <row r="915" spans="1:6" ht="15" customHeight="1">
      <c r="A915" s="51"/>
      <c r="B915" s="51"/>
      <c r="C915" s="43"/>
      <c r="D915" s="52" t="str">
        <f t="shared" si="14"/>
        <v/>
      </c>
      <c r="E915" s="47" t="str">
        <f>IF(OR(A915="",B915=""),"",MAX(0,MIN(B915,Setup!$B$27+Setup!$B$10)-Setup!$B$10))</f>
        <v/>
      </c>
      <c r="F915" s="47" t="str">
        <f>IF(OR(A915="",B915=""),"",MAX(0,B915-Setup!$B$10))</f>
        <v/>
      </c>
    </row>
    <row r="916" spans="1:6" ht="15" customHeight="1">
      <c r="A916" s="51"/>
      <c r="B916" s="51"/>
      <c r="C916" s="43"/>
      <c r="D916" s="52" t="str">
        <f t="shared" si="14"/>
        <v/>
      </c>
      <c r="E916" s="47" t="str">
        <f>IF(OR(A916="",B916=""),"",MAX(0,MIN(B916,Setup!$B$27+Setup!$B$10)-Setup!$B$10))</f>
        <v/>
      </c>
      <c r="F916" s="47" t="str">
        <f>IF(OR(A916="",B916=""),"",MAX(0,B916-Setup!$B$10))</f>
        <v/>
      </c>
    </row>
    <row r="917" spans="1:6" ht="15" customHeight="1">
      <c r="A917" s="51"/>
      <c r="B917" s="51"/>
      <c r="C917" s="43"/>
      <c r="D917" s="52" t="str">
        <f t="shared" si="14"/>
        <v/>
      </c>
      <c r="E917" s="47" t="str">
        <f>IF(OR(A917="",B917=""),"",MAX(0,MIN(B917,Setup!$B$27+Setup!$B$10)-Setup!$B$10))</f>
        <v/>
      </c>
      <c r="F917" s="47" t="str">
        <f>IF(OR(A917="",B917=""),"",MAX(0,B917-Setup!$B$10))</f>
        <v/>
      </c>
    </row>
    <row r="918" spans="1:6" ht="15" customHeight="1">
      <c r="A918" s="51"/>
      <c r="B918" s="51"/>
      <c r="C918" s="43"/>
      <c r="D918" s="52" t="str">
        <f t="shared" si="14"/>
        <v/>
      </c>
      <c r="E918" s="47" t="str">
        <f>IF(OR(A918="",B918=""),"",MAX(0,MIN(B918,Setup!$B$27+Setup!$B$10)-Setup!$B$10))</f>
        <v/>
      </c>
      <c r="F918" s="47" t="str">
        <f>IF(OR(A918="",B918=""),"",MAX(0,B918-Setup!$B$10))</f>
        <v/>
      </c>
    </row>
    <row r="919" spans="1:6" ht="15" customHeight="1">
      <c r="A919" s="51"/>
      <c r="B919" s="51"/>
      <c r="C919" s="43"/>
      <c r="D919" s="52" t="str">
        <f t="shared" si="14"/>
        <v/>
      </c>
      <c r="E919" s="47" t="str">
        <f>IF(OR(A919="",B919=""),"",MAX(0,MIN(B919,Setup!$B$27+Setup!$B$10)-Setup!$B$10))</f>
        <v/>
      </c>
      <c r="F919" s="47" t="str">
        <f>IF(OR(A919="",B919=""),"",MAX(0,B919-Setup!$B$10))</f>
        <v/>
      </c>
    </row>
    <row r="920" spans="1:6" ht="15" customHeight="1">
      <c r="A920" s="51"/>
      <c r="B920" s="51"/>
      <c r="C920" s="43"/>
      <c r="D920" s="52" t="str">
        <f t="shared" si="14"/>
        <v/>
      </c>
      <c r="E920" s="47" t="str">
        <f>IF(OR(A920="",B920=""),"",MAX(0,MIN(B920,Setup!$B$27+Setup!$B$10)-Setup!$B$10))</f>
        <v/>
      </c>
      <c r="F920" s="47" t="str">
        <f>IF(OR(A920="",B920=""),"",MAX(0,B920-Setup!$B$10))</f>
        <v/>
      </c>
    </row>
    <row r="921" spans="1:6" ht="15" customHeight="1">
      <c r="A921" s="51"/>
      <c r="B921" s="51"/>
      <c r="C921" s="43"/>
      <c r="D921" s="52" t="str">
        <f t="shared" si="14"/>
        <v/>
      </c>
      <c r="E921" s="47" t="str">
        <f>IF(OR(A921="",B921=""),"",MAX(0,MIN(B921,Setup!$B$27+Setup!$B$10)-Setup!$B$10))</f>
        <v/>
      </c>
      <c r="F921" s="47" t="str">
        <f>IF(OR(A921="",B921=""),"",MAX(0,B921-Setup!$B$10))</f>
        <v/>
      </c>
    </row>
    <row r="922" spans="1:6" ht="15" customHeight="1">
      <c r="A922" s="51"/>
      <c r="B922" s="51"/>
      <c r="C922" s="43"/>
      <c r="D922" s="52" t="str">
        <f t="shared" si="14"/>
        <v/>
      </c>
      <c r="E922" s="47" t="str">
        <f>IF(OR(A922="",B922=""),"",MAX(0,MIN(B922,Setup!$B$27+Setup!$B$10)-Setup!$B$10))</f>
        <v/>
      </c>
      <c r="F922" s="47" t="str">
        <f>IF(OR(A922="",B922=""),"",MAX(0,B922-Setup!$B$10))</f>
        <v/>
      </c>
    </row>
    <row r="923" spans="1:6" ht="15" customHeight="1">
      <c r="A923" s="51"/>
      <c r="B923" s="51"/>
      <c r="C923" s="43"/>
      <c r="D923" s="52" t="str">
        <f t="shared" si="14"/>
        <v/>
      </c>
      <c r="E923" s="47" t="str">
        <f>IF(OR(A923="",B923=""),"",MAX(0,MIN(B923,Setup!$B$27+Setup!$B$10)-Setup!$B$10))</f>
        <v/>
      </c>
      <c r="F923" s="47" t="str">
        <f>IF(OR(A923="",B923=""),"",MAX(0,B923-Setup!$B$10))</f>
        <v/>
      </c>
    </row>
    <row r="924" spans="1:6" ht="15" customHeight="1">
      <c r="A924" s="51"/>
      <c r="B924" s="51"/>
      <c r="C924" s="43"/>
      <c r="D924" s="52" t="str">
        <f t="shared" si="14"/>
        <v/>
      </c>
      <c r="E924" s="47" t="str">
        <f>IF(OR(A924="",B924=""),"",MAX(0,MIN(B924,Setup!$B$27+Setup!$B$10)-Setup!$B$10))</f>
        <v/>
      </c>
      <c r="F924" s="47" t="str">
        <f>IF(OR(A924="",B924=""),"",MAX(0,B924-Setup!$B$10))</f>
        <v/>
      </c>
    </row>
    <row r="925" spans="1:6" ht="15" customHeight="1">
      <c r="A925" s="51"/>
      <c r="B925" s="51"/>
      <c r="C925" s="43"/>
      <c r="D925" s="52" t="str">
        <f t="shared" si="14"/>
        <v/>
      </c>
      <c r="E925" s="47" t="str">
        <f>IF(OR(A925="",B925=""),"",MAX(0,MIN(B925,Setup!$B$27+Setup!$B$10)-Setup!$B$10))</f>
        <v/>
      </c>
      <c r="F925" s="47" t="str">
        <f>IF(OR(A925="",B925=""),"",MAX(0,B925-Setup!$B$10))</f>
        <v/>
      </c>
    </row>
    <row r="926" spans="1:6" ht="15" customHeight="1">
      <c r="A926" s="51"/>
      <c r="B926" s="51"/>
      <c r="C926" s="43"/>
      <c r="D926" s="52" t="str">
        <f t="shared" si="14"/>
        <v/>
      </c>
      <c r="E926" s="47" t="str">
        <f>IF(OR(A926="",B926=""),"",MAX(0,MIN(B926,Setup!$B$27+Setup!$B$10)-Setup!$B$10))</f>
        <v/>
      </c>
      <c r="F926" s="47" t="str">
        <f>IF(OR(A926="",B926=""),"",MAX(0,B926-Setup!$B$10))</f>
        <v/>
      </c>
    </row>
    <row r="927" spans="1:6" ht="15" customHeight="1">
      <c r="A927" s="51"/>
      <c r="B927" s="51"/>
      <c r="C927" s="43"/>
      <c r="D927" s="52" t="str">
        <f t="shared" si="14"/>
        <v/>
      </c>
      <c r="E927" s="47" t="str">
        <f>IF(OR(A927="",B927=""),"",MAX(0,MIN(B927,Setup!$B$27+Setup!$B$10)-Setup!$B$10))</f>
        <v/>
      </c>
      <c r="F927" s="47" t="str">
        <f>IF(OR(A927="",B927=""),"",MAX(0,B927-Setup!$B$10))</f>
        <v/>
      </c>
    </row>
    <row r="928" spans="1:6" ht="15" customHeight="1">
      <c r="A928" s="51"/>
      <c r="B928" s="51"/>
      <c r="C928" s="43"/>
      <c r="D928" s="52" t="str">
        <f t="shared" si="14"/>
        <v/>
      </c>
      <c r="E928" s="47" t="str">
        <f>IF(OR(A928="",B928=""),"",MAX(0,MIN(B928,Setup!$B$27+Setup!$B$10)-Setup!$B$10))</f>
        <v/>
      </c>
      <c r="F928" s="47" t="str">
        <f>IF(OR(A928="",B928=""),"",MAX(0,B928-Setup!$B$10))</f>
        <v/>
      </c>
    </row>
    <row r="929" spans="1:6" ht="15" customHeight="1">
      <c r="A929" s="51"/>
      <c r="B929" s="51"/>
      <c r="C929" s="43"/>
      <c r="D929" s="52" t="str">
        <f t="shared" si="14"/>
        <v/>
      </c>
      <c r="E929" s="47" t="str">
        <f>IF(OR(A929="",B929=""),"",MAX(0,MIN(B929,Setup!$B$27+Setup!$B$10)-Setup!$B$10))</f>
        <v/>
      </c>
      <c r="F929" s="47" t="str">
        <f>IF(OR(A929="",B929=""),"",MAX(0,B929-Setup!$B$10))</f>
        <v/>
      </c>
    </row>
    <row r="930" spans="1:6" ht="15" customHeight="1">
      <c r="A930" s="51"/>
      <c r="B930" s="51"/>
      <c r="C930" s="43"/>
      <c r="D930" s="52" t="str">
        <f t="shared" si="14"/>
        <v/>
      </c>
      <c r="E930" s="47" t="str">
        <f>IF(OR(A930="",B930=""),"",MAX(0,MIN(B930,Setup!$B$27+Setup!$B$10)-Setup!$B$10))</f>
        <v/>
      </c>
      <c r="F930" s="47" t="str">
        <f>IF(OR(A930="",B930=""),"",MAX(0,B930-Setup!$B$10))</f>
        <v/>
      </c>
    </row>
    <row r="931" spans="1:6" ht="15" customHeight="1">
      <c r="A931" s="51"/>
      <c r="B931" s="51"/>
      <c r="C931" s="43"/>
      <c r="D931" s="52" t="str">
        <f t="shared" si="14"/>
        <v/>
      </c>
      <c r="E931" s="47" t="str">
        <f>IF(OR(A931="",B931=""),"",MAX(0,MIN(B931,Setup!$B$27+Setup!$B$10)-Setup!$B$10))</f>
        <v/>
      </c>
      <c r="F931" s="47" t="str">
        <f>IF(OR(A931="",B931=""),"",MAX(0,B931-Setup!$B$10))</f>
        <v/>
      </c>
    </row>
    <row r="932" spans="1:6" ht="15" customHeight="1">
      <c r="A932" s="51"/>
      <c r="B932" s="51"/>
      <c r="C932" s="43"/>
      <c r="D932" s="52" t="str">
        <f t="shared" si="14"/>
        <v/>
      </c>
      <c r="E932" s="47" t="str">
        <f>IF(OR(A932="",B932=""),"",MAX(0,MIN(B932,Setup!$B$27+Setup!$B$10)-Setup!$B$10))</f>
        <v/>
      </c>
      <c r="F932" s="47" t="str">
        <f>IF(OR(A932="",B932=""),"",MAX(0,B932-Setup!$B$10))</f>
        <v/>
      </c>
    </row>
    <row r="933" spans="1:6" ht="15" customHeight="1">
      <c r="A933" s="51"/>
      <c r="B933" s="51"/>
      <c r="C933" s="43"/>
      <c r="D933" s="52" t="str">
        <f t="shared" si="14"/>
        <v/>
      </c>
      <c r="E933" s="47" t="str">
        <f>IF(OR(A933="",B933=""),"",MAX(0,MIN(B933,Setup!$B$27+Setup!$B$10)-Setup!$B$10))</f>
        <v/>
      </c>
      <c r="F933" s="47" t="str">
        <f>IF(OR(A933="",B933=""),"",MAX(0,B933-Setup!$B$10))</f>
        <v/>
      </c>
    </row>
    <row r="934" spans="1:6" ht="15" customHeight="1">
      <c r="A934" s="51"/>
      <c r="B934" s="51"/>
      <c r="C934" s="43"/>
      <c r="D934" s="52" t="str">
        <f t="shared" si="14"/>
        <v/>
      </c>
      <c r="E934" s="47" t="str">
        <f>IF(OR(A934="",B934=""),"",MAX(0,MIN(B934,Setup!$B$27+Setup!$B$10)-Setup!$B$10))</f>
        <v/>
      </c>
      <c r="F934" s="47" t="str">
        <f>IF(OR(A934="",B934=""),"",MAX(0,B934-Setup!$B$10))</f>
        <v/>
      </c>
    </row>
    <row r="935" spans="1:6" ht="15" customHeight="1">
      <c r="A935" s="51"/>
      <c r="B935" s="51"/>
      <c r="C935" s="43"/>
      <c r="D935" s="52" t="str">
        <f t="shared" si="14"/>
        <v/>
      </c>
      <c r="E935" s="47" t="str">
        <f>IF(OR(A935="",B935=""),"",MAX(0,MIN(B935,Setup!$B$27+Setup!$B$10)-Setup!$B$10))</f>
        <v/>
      </c>
      <c r="F935" s="47" t="str">
        <f>IF(OR(A935="",B935=""),"",MAX(0,B935-Setup!$B$10))</f>
        <v/>
      </c>
    </row>
    <row r="936" spans="1:6" ht="15" customHeight="1">
      <c r="A936" s="51"/>
      <c r="B936" s="51"/>
      <c r="C936" s="43"/>
      <c r="D936" s="52" t="str">
        <f t="shared" si="14"/>
        <v/>
      </c>
      <c r="E936" s="47" t="str">
        <f>IF(OR(A936="",B936=""),"",MAX(0,MIN(B936,Setup!$B$27+Setup!$B$10)-Setup!$B$10))</f>
        <v/>
      </c>
      <c r="F936" s="47" t="str">
        <f>IF(OR(A936="",B936=""),"",MAX(0,B936-Setup!$B$10))</f>
        <v/>
      </c>
    </row>
    <row r="937" spans="1:6" ht="15" customHeight="1">
      <c r="A937" s="51"/>
      <c r="B937" s="51"/>
      <c r="C937" s="43"/>
      <c r="D937" s="52" t="str">
        <f t="shared" si="14"/>
        <v/>
      </c>
      <c r="E937" s="47" t="str">
        <f>IF(OR(A937="",B937=""),"",MAX(0,MIN(B937,Setup!$B$27+Setup!$B$10)-Setup!$B$10))</f>
        <v/>
      </c>
      <c r="F937" s="47" t="str">
        <f>IF(OR(A937="",B937=""),"",MAX(0,B937-Setup!$B$10))</f>
        <v/>
      </c>
    </row>
    <row r="938" spans="1:6" ht="15" customHeight="1">
      <c r="A938" s="51"/>
      <c r="B938" s="51"/>
      <c r="C938" s="43"/>
      <c r="D938" s="52" t="str">
        <f t="shared" si="14"/>
        <v/>
      </c>
      <c r="E938" s="47" t="str">
        <f>IF(OR(A938="",B938=""),"",MAX(0,MIN(B938,Setup!$B$27+Setup!$B$10)-Setup!$B$10))</f>
        <v/>
      </c>
      <c r="F938" s="47" t="str">
        <f>IF(OR(A938="",B938=""),"",MAX(0,B938-Setup!$B$10))</f>
        <v/>
      </c>
    </row>
    <row r="939" spans="1:6" ht="15" customHeight="1">
      <c r="A939" s="51"/>
      <c r="B939" s="51"/>
      <c r="C939" s="43"/>
      <c r="D939" s="52" t="str">
        <f t="shared" si="14"/>
        <v/>
      </c>
      <c r="E939" s="47" t="str">
        <f>IF(OR(A939="",B939=""),"",MAX(0,MIN(B939,Setup!$B$27+Setup!$B$10)-Setup!$B$10))</f>
        <v/>
      </c>
      <c r="F939" s="47" t="str">
        <f>IF(OR(A939="",B939=""),"",MAX(0,B939-Setup!$B$10))</f>
        <v/>
      </c>
    </row>
    <row r="940" spans="1:6" ht="15" customHeight="1">
      <c r="A940" s="51"/>
      <c r="B940" s="51"/>
      <c r="C940" s="43"/>
      <c r="D940" s="52" t="str">
        <f t="shared" si="14"/>
        <v/>
      </c>
      <c r="E940" s="47" t="str">
        <f>IF(OR(A940="",B940=""),"",MAX(0,MIN(B940,Setup!$B$27+Setup!$B$10)-Setup!$B$10))</f>
        <v/>
      </c>
      <c r="F940" s="47" t="str">
        <f>IF(OR(A940="",B940=""),"",MAX(0,B940-Setup!$B$10))</f>
        <v/>
      </c>
    </row>
    <row r="941" spans="1:6" ht="15" customHeight="1">
      <c r="A941" s="51"/>
      <c r="B941" s="51"/>
      <c r="C941" s="43"/>
      <c r="D941" s="52" t="str">
        <f t="shared" si="14"/>
        <v/>
      </c>
      <c r="E941" s="47" t="str">
        <f>IF(OR(A941="",B941=""),"",MAX(0,MIN(B941,Setup!$B$27+Setup!$B$10)-Setup!$B$10))</f>
        <v/>
      </c>
      <c r="F941" s="47" t="str">
        <f>IF(OR(A941="",B941=""),"",MAX(0,B941-Setup!$B$10))</f>
        <v/>
      </c>
    </row>
    <row r="942" spans="1:6" ht="15" customHeight="1">
      <c r="A942" s="51"/>
      <c r="B942" s="51"/>
      <c r="C942" s="43"/>
      <c r="D942" s="52" t="str">
        <f t="shared" si="14"/>
        <v/>
      </c>
      <c r="E942" s="47" t="str">
        <f>IF(OR(A942="",B942=""),"",MAX(0,MIN(B942,Setup!$B$27+Setup!$B$10)-Setup!$B$10))</f>
        <v/>
      </c>
      <c r="F942" s="47" t="str">
        <f>IF(OR(A942="",B942=""),"",MAX(0,B942-Setup!$B$10))</f>
        <v/>
      </c>
    </row>
    <row r="943" spans="1:6" ht="15" customHeight="1">
      <c r="A943" s="51"/>
      <c r="B943" s="51"/>
      <c r="C943" s="43"/>
      <c r="D943" s="52" t="str">
        <f t="shared" si="14"/>
        <v/>
      </c>
      <c r="E943" s="47" t="str">
        <f>IF(OR(A943="",B943=""),"",MAX(0,MIN(B943,Setup!$B$27+Setup!$B$10)-Setup!$B$10))</f>
        <v/>
      </c>
      <c r="F943" s="47" t="str">
        <f>IF(OR(A943="",B943=""),"",MAX(0,B943-Setup!$B$10))</f>
        <v/>
      </c>
    </row>
    <row r="944" spans="1:6" ht="15" customHeight="1">
      <c r="A944" s="51"/>
      <c r="B944" s="51"/>
      <c r="C944" s="43"/>
      <c r="D944" s="52" t="str">
        <f t="shared" si="14"/>
        <v/>
      </c>
      <c r="E944" s="47" t="str">
        <f>IF(OR(A944="",B944=""),"",MAX(0,MIN(B944,Setup!$B$27+Setup!$B$10)-Setup!$B$10))</f>
        <v/>
      </c>
      <c r="F944" s="47" t="str">
        <f>IF(OR(A944="",B944=""),"",MAX(0,B944-Setup!$B$10))</f>
        <v/>
      </c>
    </row>
    <row r="945" spans="1:6" ht="15" customHeight="1">
      <c r="A945" s="51"/>
      <c r="B945" s="51"/>
      <c r="C945" s="43"/>
      <c r="D945" s="52" t="str">
        <f t="shared" si="14"/>
        <v/>
      </c>
      <c r="E945" s="47" t="str">
        <f>IF(OR(A945="",B945=""),"",MAX(0,MIN(B945,Setup!$B$27+Setup!$B$10)-Setup!$B$10))</f>
        <v/>
      </c>
      <c r="F945" s="47" t="str">
        <f>IF(OR(A945="",B945=""),"",MAX(0,B945-Setup!$B$10))</f>
        <v/>
      </c>
    </row>
    <row r="946" spans="1:6" ht="15" customHeight="1">
      <c r="A946" s="51"/>
      <c r="B946" s="51"/>
      <c r="C946" s="43"/>
      <c r="D946" s="52" t="str">
        <f t="shared" si="14"/>
        <v/>
      </c>
      <c r="E946" s="47" t="str">
        <f>IF(OR(A946="",B946=""),"",MAX(0,MIN(B946,Setup!$B$27+Setup!$B$10)-Setup!$B$10))</f>
        <v/>
      </c>
      <c r="F946" s="47" t="str">
        <f>IF(OR(A946="",B946=""),"",MAX(0,B946-Setup!$B$10))</f>
        <v/>
      </c>
    </row>
    <row r="947" spans="1:6" ht="15" customHeight="1">
      <c r="A947" s="51"/>
      <c r="B947" s="51"/>
      <c r="C947" s="43"/>
      <c r="D947" s="52" t="str">
        <f t="shared" si="14"/>
        <v/>
      </c>
      <c r="E947" s="47" t="str">
        <f>IF(OR(A947="",B947=""),"",MAX(0,MIN(B947,Setup!$B$27+Setup!$B$10)-Setup!$B$10))</f>
        <v/>
      </c>
      <c r="F947" s="47" t="str">
        <f>IF(OR(A947="",B947=""),"",MAX(0,B947-Setup!$B$10))</f>
        <v/>
      </c>
    </row>
    <row r="948" spans="1:6" ht="15" customHeight="1">
      <c r="A948" s="51"/>
      <c r="B948" s="51"/>
      <c r="C948" s="43"/>
      <c r="D948" s="52" t="str">
        <f t="shared" si="14"/>
        <v/>
      </c>
      <c r="E948" s="47" t="str">
        <f>IF(OR(A948="",B948=""),"",MAX(0,MIN(B948,Setup!$B$27+Setup!$B$10)-Setup!$B$10))</f>
        <v/>
      </c>
      <c r="F948" s="47" t="str">
        <f>IF(OR(A948="",B948=""),"",MAX(0,B948-Setup!$B$10))</f>
        <v/>
      </c>
    </row>
    <row r="949" spans="1:6" ht="15" customHeight="1">
      <c r="A949" s="51"/>
      <c r="B949" s="51"/>
      <c r="C949" s="43"/>
      <c r="D949" s="52" t="str">
        <f t="shared" si="14"/>
        <v/>
      </c>
      <c r="E949" s="47" t="str">
        <f>IF(OR(A949="",B949=""),"",MAX(0,MIN(B949,Setup!$B$27+Setup!$B$10)-Setup!$B$10))</f>
        <v/>
      </c>
      <c r="F949" s="47" t="str">
        <f>IF(OR(A949="",B949=""),"",MAX(0,B949-Setup!$B$10))</f>
        <v/>
      </c>
    </row>
    <row r="950" spans="1:6" ht="15" customHeight="1">
      <c r="A950" s="51"/>
      <c r="B950" s="51"/>
      <c r="C950" s="43"/>
      <c r="D950" s="52" t="str">
        <f t="shared" si="14"/>
        <v/>
      </c>
      <c r="E950" s="47" t="str">
        <f>IF(OR(A950="",B950=""),"",MAX(0,MIN(B950,Setup!$B$27+Setup!$B$10)-Setup!$B$10))</f>
        <v/>
      </c>
      <c r="F950" s="47" t="str">
        <f>IF(OR(A950="",B950=""),"",MAX(0,B950-Setup!$B$10))</f>
        <v/>
      </c>
    </row>
    <row r="951" spans="1:6" ht="15" customHeight="1">
      <c r="A951" s="51"/>
      <c r="B951" s="51"/>
      <c r="C951" s="43"/>
      <c r="D951" s="52" t="str">
        <f t="shared" si="14"/>
        <v/>
      </c>
      <c r="E951" s="47" t="str">
        <f>IF(OR(A951="",B951=""),"",MAX(0,MIN(B951,Setup!$B$27+Setup!$B$10)-Setup!$B$10))</f>
        <v/>
      </c>
      <c r="F951" s="47" t="str">
        <f>IF(OR(A951="",B951=""),"",MAX(0,B951-Setup!$B$10))</f>
        <v/>
      </c>
    </row>
    <row r="952" spans="1:6" ht="15" customHeight="1">
      <c r="A952" s="51"/>
      <c r="B952" s="51"/>
      <c r="C952" s="43"/>
      <c r="D952" s="52" t="str">
        <f t="shared" si="14"/>
        <v/>
      </c>
      <c r="E952" s="47" t="str">
        <f>IF(OR(A952="",B952=""),"",MAX(0,MIN(B952,Setup!$B$27+Setup!$B$10)-Setup!$B$10))</f>
        <v/>
      </c>
      <c r="F952" s="47" t="str">
        <f>IF(OR(A952="",B952=""),"",MAX(0,B952-Setup!$B$10))</f>
        <v/>
      </c>
    </row>
    <row r="953" spans="1:6" ht="15" customHeight="1">
      <c r="A953" s="51"/>
      <c r="B953" s="51"/>
      <c r="C953" s="43"/>
      <c r="D953" s="52" t="str">
        <f t="shared" si="14"/>
        <v/>
      </c>
      <c r="E953" s="47" t="str">
        <f>IF(OR(A953="",B953=""),"",MAX(0,MIN(B953,Setup!$B$27+Setup!$B$10)-Setup!$B$10))</f>
        <v/>
      </c>
      <c r="F953" s="47" t="str">
        <f>IF(OR(A953="",B953=""),"",MAX(0,B953-Setup!$B$10))</f>
        <v/>
      </c>
    </row>
    <row r="954" spans="1:6" ht="15" customHeight="1">
      <c r="A954" s="51"/>
      <c r="B954" s="51"/>
      <c r="C954" s="43"/>
      <c r="D954" s="52" t="str">
        <f t="shared" si="14"/>
        <v/>
      </c>
      <c r="E954" s="47" t="str">
        <f>IF(OR(A954="",B954=""),"",MAX(0,MIN(B954,Setup!$B$27+Setup!$B$10)-Setup!$B$10))</f>
        <v/>
      </c>
      <c r="F954" s="47" t="str">
        <f>IF(OR(A954="",B954=""),"",MAX(0,B954-Setup!$B$10))</f>
        <v/>
      </c>
    </row>
    <row r="955" spans="1:6" ht="15" customHeight="1">
      <c r="A955" s="51"/>
      <c r="B955" s="51"/>
      <c r="C955" s="43"/>
      <c r="D955" s="52" t="str">
        <f t="shared" si="14"/>
        <v/>
      </c>
      <c r="E955" s="47" t="str">
        <f>IF(OR(A955="",B955=""),"",MAX(0,MIN(B955,Setup!$B$27+Setup!$B$10)-Setup!$B$10))</f>
        <v/>
      </c>
      <c r="F955" s="47" t="str">
        <f>IF(OR(A955="",B955=""),"",MAX(0,B955-Setup!$B$10))</f>
        <v/>
      </c>
    </row>
    <row r="956" spans="1:6" ht="15" customHeight="1">
      <c r="A956" s="51"/>
      <c r="B956" s="51"/>
      <c r="C956" s="43"/>
      <c r="D956" s="52" t="str">
        <f t="shared" si="14"/>
        <v/>
      </c>
      <c r="E956" s="47" t="str">
        <f>IF(OR(A956="",B956=""),"",MAX(0,MIN(B956,Setup!$B$27+Setup!$B$10)-Setup!$B$10))</f>
        <v/>
      </c>
      <c r="F956" s="47" t="str">
        <f>IF(OR(A956="",B956=""),"",MAX(0,B956-Setup!$B$10))</f>
        <v/>
      </c>
    </row>
    <row r="957" spans="1:6" ht="15" customHeight="1">
      <c r="A957" s="51"/>
      <c r="B957" s="51"/>
      <c r="C957" s="43"/>
      <c r="D957" s="52" t="str">
        <f t="shared" si="14"/>
        <v/>
      </c>
      <c r="E957" s="47" t="str">
        <f>IF(OR(A957="",B957=""),"",MAX(0,MIN(B957,Setup!$B$27+Setup!$B$10)-Setup!$B$10))</f>
        <v/>
      </c>
      <c r="F957" s="47" t="str">
        <f>IF(OR(A957="",B957=""),"",MAX(0,B957-Setup!$B$10))</f>
        <v/>
      </c>
    </row>
    <row r="958" spans="1:6" ht="15" customHeight="1">
      <c r="A958" s="51"/>
      <c r="B958" s="51"/>
      <c r="C958" s="43"/>
      <c r="D958" s="52" t="str">
        <f t="shared" si="14"/>
        <v/>
      </c>
      <c r="E958" s="47" t="str">
        <f>IF(OR(A958="",B958=""),"",MAX(0,MIN(B958,Setup!$B$27+Setup!$B$10)-Setup!$B$10))</f>
        <v/>
      </c>
      <c r="F958" s="47" t="str">
        <f>IF(OR(A958="",B958=""),"",MAX(0,B958-Setup!$B$10))</f>
        <v/>
      </c>
    </row>
    <row r="959" spans="1:6" ht="15" customHeight="1">
      <c r="A959" s="51"/>
      <c r="B959" s="51"/>
      <c r="C959" s="43"/>
      <c r="D959" s="52" t="str">
        <f t="shared" si="14"/>
        <v/>
      </c>
      <c r="E959" s="47" t="str">
        <f>IF(OR(A959="",B959=""),"",MAX(0,MIN(B959,Setup!$B$27+Setup!$B$10)-Setup!$B$10))</f>
        <v/>
      </c>
      <c r="F959" s="47" t="str">
        <f>IF(OR(A959="",B959=""),"",MAX(0,B959-Setup!$B$10))</f>
        <v/>
      </c>
    </row>
    <row r="960" spans="1:6" ht="15" customHeight="1">
      <c r="A960" s="51"/>
      <c r="B960" s="51"/>
      <c r="C960" s="43"/>
      <c r="D960" s="52" t="str">
        <f t="shared" si="14"/>
        <v/>
      </c>
      <c r="E960" s="47" t="str">
        <f>IF(OR(A960="",B960=""),"",MAX(0,MIN(B960,Setup!$B$27+Setup!$B$10)-Setup!$B$10))</f>
        <v/>
      </c>
      <c r="F960" s="47" t="str">
        <f>IF(OR(A960="",B960=""),"",MAX(0,B960-Setup!$B$10))</f>
        <v/>
      </c>
    </row>
    <row r="961" spans="1:6" ht="15" customHeight="1">
      <c r="A961" s="51"/>
      <c r="B961" s="51"/>
      <c r="C961" s="43"/>
      <c r="D961" s="52" t="str">
        <f t="shared" si="14"/>
        <v/>
      </c>
      <c r="E961" s="47" t="str">
        <f>IF(OR(A961="",B961=""),"",MAX(0,MIN(B961,Setup!$B$27+Setup!$B$10)-Setup!$B$10))</f>
        <v/>
      </c>
      <c r="F961" s="47" t="str">
        <f>IF(OR(A961="",B961=""),"",MAX(0,B961-Setup!$B$10))</f>
        <v/>
      </c>
    </row>
    <row r="962" spans="1:6" ht="15" customHeight="1">
      <c r="A962" s="51"/>
      <c r="B962" s="51"/>
      <c r="C962" s="43"/>
      <c r="D962" s="52" t="str">
        <f t="shared" si="14"/>
        <v/>
      </c>
      <c r="E962" s="47" t="str">
        <f>IF(OR(A962="",B962=""),"",MAX(0,MIN(B962,Setup!$B$27+Setup!$B$10)-Setup!$B$10))</f>
        <v/>
      </c>
      <c r="F962" s="47" t="str">
        <f>IF(OR(A962="",B962=""),"",MAX(0,B962-Setup!$B$10))</f>
        <v/>
      </c>
    </row>
    <row r="963" spans="1:6" ht="15" customHeight="1">
      <c r="A963" s="51"/>
      <c r="B963" s="51"/>
      <c r="C963" s="43"/>
      <c r="D963" s="52" t="str">
        <f t="shared" ref="D963:D1002" si="15">IF(A963="","",YEAR(A963))</f>
        <v/>
      </c>
      <c r="E963" s="47" t="str">
        <f>IF(OR(A963="",B963=""),"",MAX(0,MIN(B963,Setup!$B$27+Setup!$B$10)-Setup!$B$10))</f>
        <v/>
      </c>
      <c r="F963" s="47" t="str">
        <f>IF(OR(A963="",B963=""),"",MAX(0,B963-Setup!$B$10))</f>
        <v/>
      </c>
    </row>
    <row r="964" spans="1:6" ht="15" customHeight="1">
      <c r="A964" s="51"/>
      <c r="B964" s="51"/>
      <c r="C964" s="43"/>
      <c r="D964" s="52" t="str">
        <f t="shared" si="15"/>
        <v/>
      </c>
      <c r="E964" s="47" t="str">
        <f>IF(OR(A964="",B964=""),"",MAX(0,MIN(B964,Setup!$B$27+Setup!$B$10)-Setup!$B$10))</f>
        <v/>
      </c>
      <c r="F964" s="47" t="str">
        <f>IF(OR(A964="",B964=""),"",MAX(0,B964-Setup!$B$10))</f>
        <v/>
      </c>
    </row>
    <row r="965" spans="1:6" ht="15" customHeight="1">
      <c r="A965" s="51"/>
      <c r="B965" s="51"/>
      <c r="C965" s="43"/>
      <c r="D965" s="52" t="str">
        <f t="shared" si="15"/>
        <v/>
      </c>
      <c r="E965" s="47" t="str">
        <f>IF(OR(A965="",B965=""),"",MAX(0,MIN(B965,Setup!$B$27+Setup!$B$10)-Setup!$B$10))</f>
        <v/>
      </c>
      <c r="F965" s="47" t="str">
        <f>IF(OR(A965="",B965=""),"",MAX(0,B965-Setup!$B$10))</f>
        <v/>
      </c>
    </row>
    <row r="966" spans="1:6" ht="15" customHeight="1">
      <c r="A966" s="51"/>
      <c r="B966" s="51"/>
      <c r="C966" s="43"/>
      <c r="D966" s="52" t="str">
        <f t="shared" si="15"/>
        <v/>
      </c>
      <c r="E966" s="47" t="str">
        <f>IF(OR(A966="",B966=""),"",MAX(0,MIN(B966,Setup!$B$27+Setup!$B$10)-Setup!$B$10))</f>
        <v/>
      </c>
      <c r="F966" s="47" t="str">
        <f>IF(OR(A966="",B966=""),"",MAX(0,B966-Setup!$B$10))</f>
        <v/>
      </c>
    </row>
    <row r="967" spans="1:6" ht="15" customHeight="1">
      <c r="A967" s="51"/>
      <c r="B967" s="51"/>
      <c r="C967" s="43"/>
      <c r="D967" s="52" t="str">
        <f t="shared" si="15"/>
        <v/>
      </c>
      <c r="E967" s="47" t="str">
        <f>IF(OR(A967="",B967=""),"",MAX(0,MIN(B967,Setup!$B$27+Setup!$B$10)-Setup!$B$10))</f>
        <v/>
      </c>
      <c r="F967" s="47" t="str">
        <f>IF(OR(A967="",B967=""),"",MAX(0,B967-Setup!$B$10))</f>
        <v/>
      </c>
    </row>
    <row r="968" spans="1:6" ht="15" customHeight="1">
      <c r="A968" s="51"/>
      <c r="B968" s="51"/>
      <c r="C968" s="43"/>
      <c r="D968" s="52" t="str">
        <f t="shared" si="15"/>
        <v/>
      </c>
      <c r="E968" s="47" t="str">
        <f>IF(OR(A968="",B968=""),"",MAX(0,MIN(B968,Setup!$B$27+Setup!$B$10)-Setup!$B$10))</f>
        <v/>
      </c>
      <c r="F968" s="47" t="str">
        <f>IF(OR(A968="",B968=""),"",MAX(0,B968-Setup!$B$10))</f>
        <v/>
      </c>
    </row>
    <row r="969" spans="1:6" ht="15" customHeight="1">
      <c r="A969" s="51"/>
      <c r="B969" s="51"/>
      <c r="C969" s="43"/>
      <c r="D969" s="52" t="str">
        <f t="shared" si="15"/>
        <v/>
      </c>
      <c r="E969" s="47" t="str">
        <f>IF(OR(A969="",B969=""),"",MAX(0,MIN(B969,Setup!$B$27+Setup!$B$10)-Setup!$B$10))</f>
        <v/>
      </c>
      <c r="F969" s="47" t="str">
        <f>IF(OR(A969="",B969=""),"",MAX(0,B969-Setup!$B$10))</f>
        <v/>
      </c>
    </row>
    <row r="970" spans="1:6" ht="15" customHeight="1">
      <c r="A970" s="51"/>
      <c r="B970" s="51"/>
      <c r="C970" s="43"/>
      <c r="D970" s="52" t="str">
        <f t="shared" si="15"/>
        <v/>
      </c>
      <c r="E970" s="47" t="str">
        <f>IF(OR(A970="",B970=""),"",MAX(0,MIN(B970,Setup!$B$27+Setup!$B$10)-Setup!$B$10))</f>
        <v/>
      </c>
      <c r="F970" s="47" t="str">
        <f>IF(OR(A970="",B970=""),"",MAX(0,B970-Setup!$B$10))</f>
        <v/>
      </c>
    </row>
    <row r="971" spans="1:6" ht="15" customHeight="1">
      <c r="A971" s="51"/>
      <c r="B971" s="51"/>
      <c r="C971" s="43"/>
      <c r="D971" s="52" t="str">
        <f t="shared" si="15"/>
        <v/>
      </c>
      <c r="E971" s="47" t="str">
        <f>IF(OR(A971="",B971=""),"",MAX(0,MIN(B971,Setup!$B$27+Setup!$B$10)-Setup!$B$10))</f>
        <v/>
      </c>
      <c r="F971" s="47" t="str">
        <f>IF(OR(A971="",B971=""),"",MAX(0,B971-Setup!$B$10))</f>
        <v/>
      </c>
    </row>
    <row r="972" spans="1:6" ht="15" customHeight="1">
      <c r="A972" s="51"/>
      <c r="B972" s="51"/>
      <c r="C972" s="43"/>
      <c r="D972" s="52" t="str">
        <f t="shared" si="15"/>
        <v/>
      </c>
      <c r="E972" s="47" t="str">
        <f>IF(OR(A972="",B972=""),"",MAX(0,MIN(B972,Setup!$B$27+Setup!$B$10)-Setup!$B$10))</f>
        <v/>
      </c>
      <c r="F972" s="47" t="str">
        <f>IF(OR(A972="",B972=""),"",MAX(0,B972-Setup!$B$10))</f>
        <v/>
      </c>
    </row>
    <row r="973" spans="1:6" ht="15" customHeight="1">
      <c r="A973" s="51"/>
      <c r="B973" s="51"/>
      <c r="C973" s="43"/>
      <c r="D973" s="52" t="str">
        <f t="shared" si="15"/>
        <v/>
      </c>
      <c r="E973" s="47" t="str">
        <f>IF(OR(A973="",B973=""),"",MAX(0,MIN(B973,Setup!$B$27+Setup!$B$10)-Setup!$B$10))</f>
        <v/>
      </c>
      <c r="F973" s="47" t="str">
        <f>IF(OR(A973="",B973=""),"",MAX(0,B973-Setup!$B$10))</f>
        <v/>
      </c>
    </row>
    <row r="974" spans="1:6" ht="15" customHeight="1">
      <c r="A974" s="51"/>
      <c r="B974" s="51"/>
      <c r="C974" s="43"/>
      <c r="D974" s="52" t="str">
        <f t="shared" si="15"/>
        <v/>
      </c>
      <c r="E974" s="47" t="str">
        <f>IF(OR(A974="",B974=""),"",MAX(0,MIN(B974,Setup!$B$27+Setup!$B$10)-Setup!$B$10))</f>
        <v/>
      </c>
      <c r="F974" s="47" t="str">
        <f>IF(OR(A974="",B974=""),"",MAX(0,B974-Setup!$B$10))</f>
        <v/>
      </c>
    </row>
    <row r="975" spans="1:6" ht="15" customHeight="1">
      <c r="A975" s="51"/>
      <c r="B975" s="51"/>
      <c r="C975" s="43"/>
      <c r="D975" s="52" t="str">
        <f t="shared" si="15"/>
        <v/>
      </c>
      <c r="E975" s="47" t="str">
        <f>IF(OR(A975="",B975=""),"",MAX(0,MIN(B975,Setup!$B$27+Setup!$B$10)-Setup!$B$10))</f>
        <v/>
      </c>
      <c r="F975" s="47" t="str">
        <f>IF(OR(A975="",B975=""),"",MAX(0,B975-Setup!$B$10))</f>
        <v/>
      </c>
    </row>
    <row r="976" spans="1:6" ht="15" customHeight="1">
      <c r="A976" s="51"/>
      <c r="B976" s="51"/>
      <c r="C976" s="43"/>
      <c r="D976" s="52" t="str">
        <f t="shared" si="15"/>
        <v/>
      </c>
      <c r="E976" s="47" t="str">
        <f>IF(OR(A976="",B976=""),"",MAX(0,MIN(B976,Setup!$B$27+Setup!$B$10)-Setup!$B$10))</f>
        <v/>
      </c>
      <c r="F976" s="47" t="str">
        <f>IF(OR(A976="",B976=""),"",MAX(0,B976-Setup!$B$10))</f>
        <v/>
      </c>
    </row>
    <row r="977" spans="1:6" ht="15" customHeight="1">
      <c r="A977" s="51"/>
      <c r="B977" s="51"/>
      <c r="C977" s="43"/>
      <c r="D977" s="52" t="str">
        <f t="shared" si="15"/>
        <v/>
      </c>
      <c r="E977" s="47" t="str">
        <f>IF(OR(A977="",B977=""),"",MAX(0,MIN(B977,Setup!$B$27+Setup!$B$10)-Setup!$B$10))</f>
        <v/>
      </c>
      <c r="F977" s="47" t="str">
        <f>IF(OR(A977="",B977=""),"",MAX(0,B977-Setup!$B$10))</f>
        <v/>
      </c>
    </row>
    <row r="978" spans="1:6" ht="15" customHeight="1">
      <c r="A978" s="51"/>
      <c r="B978" s="51"/>
      <c r="C978" s="43"/>
      <c r="D978" s="52" t="str">
        <f t="shared" si="15"/>
        <v/>
      </c>
      <c r="E978" s="47" t="str">
        <f>IF(OR(A978="",B978=""),"",MAX(0,MIN(B978,Setup!$B$27+Setup!$B$10)-Setup!$B$10))</f>
        <v/>
      </c>
      <c r="F978" s="47" t="str">
        <f>IF(OR(A978="",B978=""),"",MAX(0,B978-Setup!$B$10))</f>
        <v/>
      </c>
    </row>
    <row r="979" spans="1:6" ht="15" customHeight="1">
      <c r="A979" s="51"/>
      <c r="B979" s="51"/>
      <c r="C979" s="43"/>
      <c r="D979" s="52" t="str">
        <f t="shared" si="15"/>
        <v/>
      </c>
      <c r="E979" s="47" t="str">
        <f>IF(OR(A979="",B979=""),"",MAX(0,MIN(B979,Setup!$B$27+Setup!$B$10)-Setup!$B$10))</f>
        <v/>
      </c>
      <c r="F979" s="47" t="str">
        <f>IF(OR(A979="",B979=""),"",MAX(0,B979-Setup!$B$10))</f>
        <v/>
      </c>
    </row>
    <row r="980" spans="1:6" ht="15" customHeight="1">
      <c r="A980" s="51"/>
      <c r="B980" s="51"/>
      <c r="C980" s="43"/>
      <c r="D980" s="52" t="str">
        <f t="shared" si="15"/>
        <v/>
      </c>
      <c r="E980" s="47" t="str">
        <f>IF(OR(A980="",B980=""),"",MAX(0,MIN(B980,Setup!$B$27+Setup!$B$10)-Setup!$B$10))</f>
        <v/>
      </c>
      <c r="F980" s="47" t="str">
        <f>IF(OR(A980="",B980=""),"",MAX(0,B980-Setup!$B$10))</f>
        <v/>
      </c>
    </row>
    <row r="981" spans="1:6" ht="15" customHeight="1">
      <c r="A981" s="51"/>
      <c r="B981" s="51"/>
      <c r="C981" s="43"/>
      <c r="D981" s="52" t="str">
        <f t="shared" si="15"/>
        <v/>
      </c>
      <c r="E981" s="47" t="str">
        <f>IF(OR(A981="",B981=""),"",MAX(0,MIN(B981,Setup!$B$27+Setup!$B$10)-Setup!$B$10))</f>
        <v/>
      </c>
      <c r="F981" s="47" t="str">
        <f>IF(OR(A981="",B981=""),"",MAX(0,B981-Setup!$B$10))</f>
        <v/>
      </c>
    </row>
    <row r="982" spans="1:6" ht="15" customHeight="1">
      <c r="A982" s="51"/>
      <c r="B982" s="51"/>
      <c r="C982" s="43"/>
      <c r="D982" s="52" t="str">
        <f t="shared" si="15"/>
        <v/>
      </c>
      <c r="E982" s="47" t="str">
        <f>IF(OR(A982="",B982=""),"",MAX(0,MIN(B982,Setup!$B$27+Setup!$B$10)-Setup!$B$10))</f>
        <v/>
      </c>
      <c r="F982" s="47" t="str">
        <f>IF(OR(A982="",B982=""),"",MAX(0,B982-Setup!$B$10))</f>
        <v/>
      </c>
    </row>
    <row r="983" spans="1:6" ht="15" customHeight="1">
      <c r="A983" s="51"/>
      <c r="B983" s="51"/>
      <c r="C983" s="43"/>
      <c r="D983" s="52" t="str">
        <f t="shared" si="15"/>
        <v/>
      </c>
      <c r="E983" s="47" t="str">
        <f>IF(OR(A983="",B983=""),"",MAX(0,MIN(B983,Setup!$B$27+Setup!$B$10)-Setup!$B$10))</f>
        <v/>
      </c>
      <c r="F983" s="47" t="str">
        <f>IF(OR(A983="",B983=""),"",MAX(0,B983-Setup!$B$10))</f>
        <v/>
      </c>
    </row>
    <row r="984" spans="1:6" ht="15" customHeight="1">
      <c r="A984" s="51"/>
      <c r="B984" s="51"/>
      <c r="C984" s="43"/>
      <c r="D984" s="52" t="str">
        <f t="shared" si="15"/>
        <v/>
      </c>
      <c r="E984" s="47" t="str">
        <f>IF(OR(A984="",B984=""),"",MAX(0,MIN(B984,Setup!$B$27+Setup!$B$10)-Setup!$B$10))</f>
        <v/>
      </c>
      <c r="F984" s="47" t="str">
        <f>IF(OR(A984="",B984=""),"",MAX(0,B984-Setup!$B$10))</f>
        <v/>
      </c>
    </row>
    <row r="985" spans="1:6" ht="15" customHeight="1">
      <c r="A985" s="51"/>
      <c r="B985" s="51"/>
      <c r="C985" s="43"/>
      <c r="D985" s="52" t="str">
        <f t="shared" si="15"/>
        <v/>
      </c>
      <c r="E985" s="47" t="str">
        <f>IF(OR(A985="",B985=""),"",MAX(0,MIN(B985,Setup!$B$27+Setup!$B$10)-Setup!$B$10))</f>
        <v/>
      </c>
      <c r="F985" s="47" t="str">
        <f>IF(OR(A985="",B985=""),"",MAX(0,B985-Setup!$B$10))</f>
        <v/>
      </c>
    </row>
    <row r="986" spans="1:6" ht="15" customHeight="1">
      <c r="A986" s="51"/>
      <c r="B986" s="51"/>
      <c r="C986" s="43"/>
      <c r="D986" s="52" t="str">
        <f t="shared" si="15"/>
        <v/>
      </c>
      <c r="E986" s="47" t="str">
        <f>IF(OR(A986="",B986=""),"",MAX(0,MIN(B986,Setup!$B$27+Setup!$B$10)-Setup!$B$10))</f>
        <v/>
      </c>
      <c r="F986" s="47" t="str">
        <f>IF(OR(A986="",B986=""),"",MAX(0,B986-Setup!$B$10))</f>
        <v/>
      </c>
    </row>
    <row r="987" spans="1:6" ht="15" customHeight="1">
      <c r="A987" s="51"/>
      <c r="B987" s="51"/>
      <c r="C987" s="43"/>
      <c r="D987" s="52" t="str">
        <f t="shared" si="15"/>
        <v/>
      </c>
      <c r="E987" s="47" t="str">
        <f>IF(OR(A987="",B987=""),"",MAX(0,MIN(B987,Setup!$B$27+Setup!$B$10)-Setup!$B$10))</f>
        <v/>
      </c>
      <c r="F987" s="47" t="str">
        <f>IF(OR(A987="",B987=""),"",MAX(0,B987-Setup!$B$10))</f>
        <v/>
      </c>
    </row>
    <row r="988" spans="1:6" ht="15" customHeight="1">
      <c r="A988" s="51"/>
      <c r="B988" s="51"/>
      <c r="C988" s="43"/>
      <c r="D988" s="52" t="str">
        <f t="shared" si="15"/>
        <v/>
      </c>
      <c r="E988" s="47" t="str">
        <f>IF(OR(A988="",B988=""),"",MAX(0,MIN(B988,Setup!$B$27+Setup!$B$10)-Setup!$B$10))</f>
        <v/>
      </c>
      <c r="F988" s="47" t="str">
        <f>IF(OR(A988="",B988=""),"",MAX(0,B988-Setup!$B$10))</f>
        <v/>
      </c>
    </row>
    <row r="989" spans="1:6" ht="15" customHeight="1">
      <c r="A989" s="51"/>
      <c r="B989" s="51"/>
      <c r="C989" s="43"/>
      <c r="D989" s="52" t="str">
        <f t="shared" si="15"/>
        <v/>
      </c>
      <c r="E989" s="47" t="str">
        <f>IF(OR(A989="",B989=""),"",MAX(0,MIN(B989,Setup!$B$27+Setup!$B$10)-Setup!$B$10))</f>
        <v/>
      </c>
      <c r="F989" s="47" t="str">
        <f>IF(OR(A989="",B989=""),"",MAX(0,B989-Setup!$B$10))</f>
        <v/>
      </c>
    </row>
    <row r="990" spans="1:6" ht="15" customHeight="1">
      <c r="A990" s="51"/>
      <c r="B990" s="51"/>
      <c r="C990" s="43"/>
      <c r="D990" s="52" t="str">
        <f t="shared" si="15"/>
        <v/>
      </c>
      <c r="E990" s="47" t="str">
        <f>IF(OR(A990="",B990=""),"",MAX(0,MIN(B990,Setup!$B$27+Setup!$B$10)-Setup!$B$10))</f>
        <v/>
      </c>
      <c r="F990" s="47" t="str">
        <f>IF(OR(A990="",B990=""),"",MAX(0,B990-Setup!$B$10))</f>
        <v/>
      </c>
    </row>
    <row r="991" spans="1:6" ht="15" customHeight="1">
      <c r="A991" s="51"/>
      <c r="B991" s="51"/>
      <c r="C991" s="43"/>
      <c r="D991" s="52" t="str">
        <f t="shared" si="15"/>
        <v/>
      </c>
      <c r="E991" s="47" t="str">
        <f>IF(OR(A991="",B991=""),"",MAX(0,MIN(B991,Setup!$B$27+Setup!$B$10)-Setup!$B$10))</f>
        <v/>
      </c>
      <c r="F991" s="47" t="str">
        <f>IF(OR(A991="",B991=""),"",MAX(0,B991-Setup!$B$10))</f>
        <v/>
      </c>
    </row>
    <row r="992" spans="1:6" ht="15" customHeight="1">
      <c r="A992" s="51"/>
      <c r="B992" s="51"/>
      <c r="C992" s="43"/>
      <c r="D992" s="52" t="str">
        <f t="shared" si="15"/>
        <v/>
      </c>
      <c r="E992" s="47" t="str">
        <f>IF(OR(A992="",B992=""),"",MAX(0,MIN(B992,Setup!$B$27+Setup!$B$10)-Setup!$B$10))</f>
        <v/>
      </c>
      <c r="F992" s="47" t="str">
        <f>IF(OR(A992="",B992=""),"",MAX(0,B992-Setup!$B$10))</f>
        <v/>
      </c>
    </row>
    <row r="993" spans="1:6" ht="15" customHeight="1">
      <c r="A993" s="51"/>
      <c r="B993" s="51"/>
      <c r="C993" s="43"/>
      <c r="D993" s="52" t="str">
        <f t="shared" si="15"/>
        <v/>
      </c>
      <c r="E993" s="47" t="str">
        <f>IF(OR(A993="",B993=""),"",MAX(0,MIN(B993,Setup!$B$27+Setup!$B$10)-Setup!$B$10))</f>
        <v/>
      </c>
      <c r="F993" s="47" t="str">
        <f>IF(OR(A993="",B993=""),"",MAX(0,B993-Setup!$B$10))</f>
        <v/>
      </c>
    </row>
    <row r="994" spans="1:6" ht="15" customHeight="1">
      <c r="A994" s="51"/>
      <c r="B994" s="51"/>
      <c r="C994" s="43"/>
      <c r="D994" s="52" t="str">
        <f t="shared" si="15"/>
        <v/>
      </c>
      <c r="E994" s="47" t="str">
        <f>IF(OR(A994="",B994=""),"",MAX(0,MIN(B994,Setup!$B$27+Setup!$B$10)-Setup!$B$10))</f>
        <v/>
      </c>
      <c r="F994" s="47" t="str">
        <f>IF(OR(A994="",B994=""),"",MAX(0,B994-Setup!$B$10))</f>
        <v/>
      </c>
    </row>
    <row r="995" spans="1:6" ht="15" customHeight="1">
      <c r="A995" s="51"/>
      <c r="B995" s="51"/>
      <c r="C995" s="43"/>
      <c r="D995" s="52" t="str">
        <f t="shared" si="15"/>
        <v/>
      </c>
      <c r="E995" s="47" t="str">
        <f>IF(OR(A995="",B995=""),"",MAX(0,MIN(B995,Setup!$B$27+Setup!$B$10)-Setup!$B$10))</f>
        <v/>
      </c>
      <c r="F995" s="47" t="str">
        <f>IF(OR(A995="",B995=""),"",MAX(0,B995-Setup!$B$10))</f>
        <v/>
      </c>
    </row>
    <row r="996" spans="1:6" ht="15" customHeight="1">
      <c r="A996" s="51"/>
      <c r="B996" s="51"/>
      <c r="C996" s="43"/>
      <c r="D996" s="52" t="str">
        <f t="shared" si="15"/>
        <v/>
      </c>
      <c r="E996" s="47" t="str">
        <f>IF(OR(A996="",B996=""),"",MAX(0,MIN(B996,Setup!$B$27+Setup!$B$10)-Setup!$B$10))</f>
        <v/>
      </c>
      <c r="F996" s="47" t="str">
        <f>IF(OR(A996="",B996=""),"",MAX(0,B996-Setup!$B$10))</f>
        <v/>
      </c>
    </row>
    <row r="997" spans="1:6" ht="15" customHeight="1">
      <c r="A997" s="51"/>
      <c r="B997" s="51"/>
      <c r="C997" s="43"/>
      <c r="D997" s="52" t="str">
        <f t="shared" si="15"/>
        <v/>
      </c>
      <c r="E997" s="47" t="str">
        <f>IF(OR(A997="",B997=""),"",MAX(0,MIN(B997,Setup!$B$27+Setup!$B$10)-Setup!$B$10))</f>
        <v/>
      </c>
      <c r="F997" s="47" t="str">
        <f>IF(OR(A997="",B997=""),"",MAX(0,B997-Setup!$B$10))</f>
        <v/>
      </c>
    </row>
    <row r="998" spans="1:6" ht="15" customHeight="1">
      <c r="A998" s="51"/>
      <c r="B998" s="51"/>
      <c r="C998" s="43"/>
      <c r="D998" s="52" t="str">
        <f t="shared" si="15"/>
        <v/>
      </c>
      <c r="E998" s="47" t="str">
        <f>IF(OR(A998="",B998=""),"",MAX(0,MIN(B998,Setup!$B$27+Setup!$B$10)-Setup!$B$10))</f>
        <v/>
      </c>
      <c r="F998" s="47" t="str">
        <f>IF(OR(A998="",B998=""),"",MAX(0,B998-Setup!$B$10))</f>
        <v/>
      </c>
    </row>
    <row r="999" spans="1:6" ht="15" customHeight="1">
      <c r="A999" s="51"/>
      <c r="B999" s="51"/>
      <c r="C999" s="43"/>
      <c r="D999" s="52" t="str">
        <f t="shared" si="15"/>
        <v/>
      </c>
      <c r="E999" s="47" t="str">
        <f>IF(OR(A999="",B999=""),"",MAX(0,MIN(B999,Setup!$B$27+Setup!$B$10)-Setup!$B$10))</f>
        <v/>
      </c>
      <c r="F999" s="47" t="str">
        <f>IF(OR(A999="",B999=""),"",MAX(0,B999-Setup!$B$10))</f>
        <v/>
      </c>
    </row>
    <row r="1000" spans="1:6" ht="15" customHeight="1">
      <c r="A1000" s="51"/>
      <c r="B1000" s="51"/>
      <c r="C1000" s="43"/>
      <c r="D1000" s="52" t="str">
        <f t="shared" si="15"/>
        <v/>
      </c>
      <c r="E1000" s="47" t="str">
        <f>IF(OR(A1000="",B1000=""),"",MAX(0,MIN(B1000,Setup!$B$27+Setup!$B$10)-Setup!$B$10))</f>
        <v/>
      </c>
      <c r="F1000" s="47" t="str">
        <f>IF(OR(A1000="",B1000=""),"",MAX(0,B1000-Setup!$B$10))</f>
        <v/>
      </c>
    </row>
    <row r="1001" spans="1:6" ht="15" customHeight="1">
      <c r="A1001" s="51"/>
      <c r="B1001" s="51"/>
      <c r="C1001" s="43"/>
      <c r="D1001" s="52" t="str">
        <f t="shared" si="15"/>
        <v/>
      </c>
      <c r="E1001" s="47" t="str">
        <f>IF(OR(A1001="",B1001=""),"",MAX(0,MIN(B1001,Setup!$B$27+Setup!$B$10)-Setup!$B$10))</f>
        <v/>
      </c>
      <c r="F1001" s="47" t="str">
        <f>IF(OR(A1001="",B1001=""),"",MAX(0,B1001-Setup!$B$10))</f>
        <v/>
      </c>
    </row>
    <row r="1002" spans="1:6" ht="15" customHeight="1">
      <c r="A1002" s="51"/>
      <c r="B1002" s="51"/>
      <c r="C1002" s="43"/>
      <c r="D1002" s="52" t="str">
        <f t="shared" si="15"/>
        <v/>
      </c>
      <c r="E1002" s="47" t="str">
        <f>IF(OR(A1002="",B1002=""),"",MAX(0,MIN(B1002,Setup!$B$27+Setup!$B$10)-Setup!$B$10))</f>
        <v/>
      </c>
      <c r="F1002" s="47" t="str">
        <f>IF(OR(A1002="",B1002=""),"",MAX(0,B1002-Setup!$B$10))</f>
        <v/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R69"/>
  <sheetViews>
    <sheetView showGridLines="0" tabSelected="1" topLeftCell="A25" zoomScale="80" zoomScaleNormal="80" workbookViewId="0">
      <selection activeCell="B37" sqref="B37"/>
    </sheetView>
  </sheetViews>
  <sheetFormatPr defaultColWidth="8.7265625" defaultRowHeight="15" customHeight="1" outlineLevelRow="1"/>
  <cols>
    <col min="1" max="1" width="54" customWidth="1"/>
    <col min="2" max="2" width="14" customWidth="1"/>
    <col min="3" max="5" width="15" customWidth="1"/>
    <col min="6" max="6" width="80" customWidth="1"/>
    <col min="7" max="7" width="28" customWidth="1"/>
    <col min="8" max="12" width="15" customWidth="1"/>
    <col min="13" max="14" width="14" customWidth="1"/>
    <col min="15" max="18" width="16" customWidth="1"/>
  </cols>
  <sheetData>
    <row r="1" spans="1:18" ht="25.5" customHeight="1">
      <c r="A1" s="157" t="s">
        <v>117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1:18" ht="15.75" customHeight="1">
      <c r="A2" s="162" t="str">
        <f>Setup!B4</f>
        <v>BDE FLORIDA</v>
      </c>
      <c r="B2" s="147"/>
      <c r="C2" s="147"/>
      <c r="D2" s="147"/>
      <c r="E2" s="147"/>
      <c r="F2" s="162" t="str">
        <f>Setup!B6</f>
        <v>$1MM/$2MM</v>
      </c>
      <c r="G2" s="147"/>
      <c r="H2" s="147"/>
      <c r="I2" s="147"/>
      <c r="J2" s="162" t="str">
        <f>"Valuation Date: "&amp;TEXT(Setup!B7,"MM/DD/YYYY")</f>
        <v>Valuation Date: 04/03/2026</v>
      </c>
      <c r="K2" s="147"/>
      <c r="L2" s="147"/>
      <c r="M2" s="147"/>
      <c r="N2" s="147"/>
    </row>
    <row r="4" spans="1:18" ht="24" customHeight="1">
      <c r="A4" s="53" t="s">
        <v>118</v>
      </c>
    </row>
    <row r="5" spans="1:18" ht="42" customHeight="1">
      <c r="A5" s="41" t="s">
        <v>119</v>
      </c>
      <c r="B5" s="41" t="s">
        <v>120</v>
      </c>
      <c r="C5" s="41" t="s">
        <v>121</v>
      </c>
      <c r="D5" s="41" t="str">
        <f>IF(Setup!$B$10=0,"Case Incurred"&amp;CHAR(10)&amp;"Unlimited ($)","Net Unlimited"&amp;CHAR(10)&amp;"Loss ($)")</f>
        <v>Net Unlimited
Loss ($)</v>
      </c>
      <c r="E5" s="41" t="str">
        <f>IF(Setup!$B$10=0,"Case Incurred"&amp;CHAR(10)&amp;"Capped ($)","Net Capped"&amp;CHAR(10)&amp;"Loss ($)")</f>
        <v>Net Capped
Loss ($)</v>
      </c>
      <c r="F5" s="41" t="s">
        <v>122</v>
      </c>
      <c r="G5" s="41" t="s">
        <v>123</v>
      </c>
      <c r="H5" s="41" t="s">
        <v>124</v>
      </c>
      <c r="I5" s="41" t="s">
        <v>125</v>
      </c>
      <c r="J5" s="41" t="s">
        <v>126</v>
      </c>
      <c r="K5" s="41" t="s">
        <v>127</v>
      </c>
      <c r="L5" s="41" t="s">
        <v>128</v>
      </c>
      <c r="M5" s="41" t="s">
        <v>129</v>
      </c>
      <c r="N5" s="41" t="s">
        <v>130</v>
      </c>
      <c r="O5" s="41" t="s">
        <v>131</v>
      </c>
      <c r="P5" s="41" t="s">
        <v>132</v>
      </c>
      <c r="Q5" s="41" t="s">
        <v>133</v>
      </c>
      <c r="R5" s="41" t="s">
        <v>134</v>
      </c>
    </row>
    <row r="6" spans="1:18" ht="18" customHeight="1">
      <c r="A6" s="54">
        <f ca="1">(IF(Setup!$B$7="",TODAY(),Setup!$B$7)-DATE(B6,1,1))/30.44</f>
        <v>63.009198423127458</v>
      </c>
      <c r="B6" s="36">
        <f ca="1">IF(MONTH(IF(Setup!$B$7="",TODAY(),Setup!$B$7))&gt;=7,YEAR(IF(Setup!$B$7="",TODAY(),Setup!$B$7)),YEAR(IF(Setup!$B$7="",TODAY(),Setup!$B$7))-1)-4</f>
        <v>2021</v>
      </c>
      <c r="C6" s="55">
        <f ca="1">IFERROR(VLOOKUP(B6,Setup!$A$37:$B$46,2,0),0)</f>
        <v>35074522.202070899</v>
      </c>
      <c r="D6" s="56">
        <f ca="1">SUMIF(LossRun!$D:$D,B6,LossRun!$F:$F)</f>
        <v>0</v>
      </c>
      <c r="E6" s="56">
        <f ca="1">SUMIF(LossRun!$D:$D,B6,LossRun!$E:$E)</f>
        <v>0</v>
      </c>
      <c r="F6" s="57">
        <f ca="1">IF(Setup!$B$12="Everspan Fitted",EXP(Ref!$B$12*A6+Ref!$B$13)+1,EXP(Ref!$B$32*A6+Ref!$B$33)+1)</f>
        <v>1.0575505622109267</v>
      </c>
      <c r="G6" s="58">
        <f ca="1">1/F6</f>
        <v>0.94558126649697882</v>
      </c>
      <c r="H6" s="56">
        <f ca="1">IFERROR(VLOOKUP(B6,Setup!$A$37:$C$46,3,0)*Setup!$B$30,0)</f>
        <v>88851.867277523226</v>
      </c>
      <c r="I6" s="59">
        <f ca="1">D6*F6</f>
        <v>0</v>
      </c>
      <c r="J6" s="59">
        <f ca="1">E6*F6*Setup!$B$26</f>
        <v>0</v>
      </c>
      <c r="K6" s="59">
        <f ca="1">D6+H6*(1-G6)</f>
        <v>4835.2060866213442</v>
      </c>
      <c r="L6" s="59">
        <f ca="1">E6*Setup!$B$26+H6*(1-G6)</f>
        <v>4835.2060866213442</v>
      </c>
      <c r="M6" s="17">
        <f ca="1">(DATE(YEAR(IF(Setup!$B$7="",TODAY(),Setup!$B$7))+1,MONTH(IF(Setup!$B$7="",TODAY(),Setup!$B$7)),DAY(IF(Setup!$B$7="",TODAY(),Setup!$B$7)))-DATE(B6,7,1))/365.25</f>
        <v>5.7549623545516768</v>
      </c>
      <c r="N6" s="57">
        <f ca="1">(1+Setup!$B$29)^M6</f>
        <v>1</v>
      </c>
      <c r="O6" s="59">
        <f ca="1">I6*N6</f>
        <v>0</v>
      </c>
      <c r="P6" s="59">
        <f ca="1">J6*N6</f>
        <v>0</v>
      </c>
      <c r="Q6" s="59">
        <f ca="1">K6*N6</f>
        <v>4835.2060866213442</v>
      </c>
      <c r="R6" s="59">
        <f ca="1">L6*N6</f>
        <v>4835.2060866213442</v>
      </c>
    </row>
    <row r="7" spans="1:18" ht="18" customHeight="1">
      <c r="A7" s="60">
        <f ca="1">(IF(Setup!$B$7="",TODAY(),Setup!$B$7)-DATE(B7,1,1))/30.44</f>
        <v>51.018396846254923</v>
      </c>
      <c r="B7" s="61">
        <f ca="1">B6+1</f>
        <v>2022</v>
      </c>
      <c r="C7" s="55">
        <f ca="1">IFERROR(VLOOKUP(B7,Setup!$A$37:$B$46,2,0),0)</f>
        <v>36828248.312174447</v>
      </c>
      <c r="D7" s="62">
        <f ca="1">SUMIF(LossRun!$D:$D,B7,LossRun!$F:$F)</f>
        <v>560386.9</v>
      </c>
      <c r="E7" s="62">
        <f ca="1">SUMIF(LossRun!$D:$D,B7,LossRun!$E:$E)</f>
        <v>100000</v>
      </c>
      <c r="F7" s="63">
        <f ca="1">IF(Setup!$B$12="Everspan Fitted",EXP(Ref!$B$12*A7+Ref!$B$13)+1,EXP(Ref!$B$32*A7+Ref!$B$33)+1)</f>
        <v>1.1251582920470806</v>
      </c>
      <c r="G7" s="64">
        <f ca="1">1/F7</f>
        <v>0.88876383622488242</v>
      </c>
      <c r="H7" s="62">
        <f ca="1">IFERROR(VLOOKUP(B7,Setup!$A$37:$C$46,3,0)*Setup!$B$30,0)</f>
        <v>93294.46064139939</v>
      </c>
      <c r="I7" s="65">
        <f ca="1">D7*F7</f>
        <v>630523.96728955815</v>
      </c>
      <c r="J7" s="65">
        <f ca="1">E7*F7*Setup!$B$26</f>
        <v>168211.16466103855</v>
      </c>
      <c r="K7" s="65">
        <f ca="1">D7+H7*(1-G7)</f>
        <v>570764.61790321802</v>
      </c>
      <c r="L7" s="65">
        <f ca="1">E7*Setup!$B$26+H7*(1-G7)</f>
        <v>159877.71790321797</v>
      </c>
      <c r="M7" s="66">
        <f ca="1">(DATE(YEAR(IF(Setup!$B$7="",TODAY(),Setup!$B$7))+1,MONTH(IF(Setup!$B$7="",TODAY(),Setup!$B$7)),DAY(IF(Setup!$B$7="",TODAY(),Setup!$B$7)))-DATE(B7,7,1))/365.25</f>
        <v>4.7556468172484596</v>
      </c>
      <c r="N7" s="63">
        <f ca="1">(1+Setup!$B$29)^M7</f>
        <v>1</v>
      </c>
      <c r="O7" s="65">
        <f ca="1">I7*N7</f>
        <v>630523.96728955815</v>
      </c>
      <c r="P7" s="65">
        <f ca="1">J7*N7</f>
        <v>168211.16466103855</v>
      </c>
      <c r="Q7" s="65">
        <f ca="1">K7*N7</f>
        <v>570764.61790321802</v>
      </c>
      <c r="R7" s="65">
        <f ca="1">L7*N7</f>
        <v>159877.71790321797</v>
      </c>
    </row>
    <row r="8" spans="1:18" ht="18" customHeight="1">
      <c r="A8" s="54">
        <f ca="1">(IF(Setup!$B$7="",TODAY(),Setup!$B$7)-DATE(B8,1,1))/30.44</f>
        <v>39.027595269382388</v>
      </c>
      <c r="B8" s="36">
        <f ca="1">B7+1</f>
        <v>2023</v>
      </c>
      <c r="C8" s="55">
        <f ca="1">IFERROR(VLOOKUP(B8,Setup!$A$37:$B$46,2,0),0)</f>
        <v>38669660.727783173</v>
      </c>
      <c r="D8" s="56">
        <f ca="1">SUMIF(LossRun!$D:$D,B8,LossRun!$F:$F)</f>
        <v>0</v>
      </c>
      <c r="E8" s="56">
        <f ca="1">SUMIF(LossRun!$D:$D,B8,LossRun!$E:$E)</f>
        <v>0</v>
      </c>
      <c r="F8" s="57">
        <f ca="1">IF(Setup!$B$12="Everspan Fitted",EXP(Ref!$B$12*A8+Ref!$B$13)+1,EXP(Ref!$B$32*A8+Ref!$B$33)+1)</f>
        <v>1.2721884455399493</v>
      </c>
      <c r="G8" s="58">
        <f ca="1">1/F8</f>
        <v>0.78604706991783313</v>
      </c>
      <c r="H8" s="56">
        <f ca="1">IFERROR(VLOOKUP(B8,Setup!$A$37:$C$46,3,0)*Setup!$B$30,0)</f>
        <v>97959.183673469379</v>
      </c>
      <c r="I8" s="59">
        <f ca="1">D8*F8</f>
        <v>0</v>
      </c>
      <c r="J8" s="59">
        <f ca="1">E8*F8*Setup!$B$26</f>
        <v>0</v>
      </c>
      <c r="K8" s="59">
        <f ca="1">D8+H8*(1-G8)</f>
        <v>20958.654375395938</v>
      </c>
      <c r="L8" s="59">
        <f ca="1">E8*Setup!$B$26+H8*(1-G8)</f>
        <v>20958.654375395938</v>
      </c>
      <c r="M8" s="17">
        <f ca="1">(DATE(YEAR(IF(Setup!$B$7="",TODAY(),Setup!$B$7))+1,MONTH(IF(Setup!$B$7="",TODAY(),Setup!$B$7)),DAY(IF(Setup!$B$7="",TODAY(),Setup!$B$7)))-DATE(B8,7,1))/365.25</f>
        <v>3.7563312799452429</v>
      </c>
      <c r="N8" s="57">
        <f ca="1">(1+Setup!$B$29)^M8</f>
        <v>1</v>
      </c>
      <c r="O8" s="59">
        <f ca="1">I8*N8</f>
        <v>0</v>
      </c>
      <c r="P8" s="59">
        <f ca="1">J8*N8</f>
        <v>0</v>
      </c>
      <c r="Q8" s="59">
        <f ca="1">K8*N8</f>
        <v>20958.654375395938</v>
      </c>
      <c r="R8" s="59">
        <f ca="1">L8*N8</f>
        <v>20958.654375395938</v>
      </c>
    </row>
    <row r="9" spans="1:18" ht="18" customHeight="1">
      <c r="A9" s="60">
        <f ca="1">(IF(Setup!$B$7="",TODAY(),Setup!$B$7)-DATE(B9,1,1))/30.44</f>
        <v>27.036793692509853</v>
      </c>
      <c r="B9" s="61">
        <f ca="1">B8+1</f>
        <v>2024</v>
      </c>
      <c r="C9" s="55">
        <f ca="1">IFERROR(VLOOKUP(B9,Setup!$A$37:$B$46,2,0),0)</f>
        <v>40603143.76417233</v>
      </c>
      <c r="D9" s="62">
        <f ca="1">SUMIF(LossRun!$D:$D,B9,LossRun!$F:$F)</f>
        <v>292000</v>
      </c>
      <c r="E9" s="62">
        <f ca="1">SUMIF(LossRun!$D:$D,B9,LossRun!$E:$E)</f>
        <v>127000</v>
      </c>
      <c r="F9" s="63">
        <f ca="1">IF(Setup!$B$12="Everspan Fitted",EXP(Ref!$B$12*A9+Ref!$B$13)+1,EXP(Ref!$B$32*A9+Ref!$B$33)+1)</f>
        <v>1.5919428003826144</v>
      </c>
      <c r="G9" s="64">
        <f ca="1">1/F9</f>
        <v>0.62816327305205666</v>
      </c>
      <c r="H9" s="62">
        <f ca="1">IFERROR(VLOOKUP(B9,Setup!$A$37:$C$46,3,0)*Setup!$B$30,0)</f>
        <v>102857.14285714286</v>
      </c>
      <c r="I9" s="65">
        <f ca="1">D9*F9</f>
        <v>464847.29771172343</v>
      </c>
      <c r="J9" s="65">
        <f ca="1">E9*F9*Setup!$B$26</f>
        <v>302254.21979464509</v>
      </c>
      <c r="K9" s="65">
        <f ca="1">D9+H9*(1-G9)</f>
        <v>330246.06334321701</v>
      </c>
      <c r="L9" s="65">
        <f ca="1">E9*Setup!$B$26+H9*(1-G9)</f>
        <v>228111.06334321701</v>
      </c>
      <c r="M9" s="66">
        <f ca="1">(DATE(YEAR(IF(Setup!$B$7="",TODAY(),Setup!$B$7))+1,MONTH(IF(Setup!$B$7="",TODAY(),Setup!$B$7)),DAY(IF(Setup!$B$7="",TODAY(),Setup!$B$7)))-DATE(B9,7,1))/365.25</f>
        <v>2.754277891854894</v>
      </c>
      <c r="N9" s="63">
        <f ca="1">(1+Setup!$B$29)^M9</f>
        <v>1</v>
      </c>
      <c r="O9" s="65">
        <f ca="1">I9*N9</f>
        <v>464847.29771172343</v>
      </c>
      <c r="P9" s="65">
        <f ca="1">J9*N9</f>
        <v>302254.21979464509</v>
      </c>
      <c r="Q9" s="65">
        <f ca="1">K9*N9</f>
        <v>330246.06334321701</v>
      </c>
      <c r="R9" s="65">
        <f ca="1">L9*N9</f>
        <v>228111.06334321701</v>
      </c>
    </row>
    <row r="10" spans="1:18" ht="18" customHeight="1">
      <c r="A10" s="54">
        <f ca="1">(IF(Setup!$B$7="",TODAY(),Setup!$B$7)-DATE(B10,1,1))/30.44</f>
        <v>15.013140604467806</v>
      </c>
      <c r="B10" s="36">
        <f ca="1">B9+1</f>
        <v>2025</v>
      </c>
      <c r="C10" s="55">
        <f ca="1">IFERROR(VLOOKUP(B10,Setup!$A$37:$B$46,2,0),0)</f>
        <v>42633300.952380948</v>
      </c>
      <c r="D10" s="56">
        <f ca="1">SUMIF(LossRun!$D:$D,B10,LossRun!$F:$F)</f>
        <v>17000</v>
      </c>
      <c r="E10" s="56">
        <f ca="1">SUMIF(LossRun!$D:$D,B10,LossRun!$E:$E)</f>
        <v>17000</v>
      </c>
      <c r="F10" s="57">
        <f ca="1">IF(Setup!$B$12="Everspan Fitted",EXP(Ref!$B$12*A10+Ref!$B$13)+1,EXP(Ref!$B$32*A10+Ref!$B$33)+1)</f>
        <v>2.2900727780288568</v>
      </c>
      <c r="G10" s="58">
        <f ca="1">1/F10</f>
        <v>0.43666734507046273</v>
      </c>
      <c r="H10" s="56">
        <f ca="1">IFERROR(VLOOKUP(B10,Setup!$A$37:$C$46,3,0)*Setup!$B$30,0)</f>
        <v>108000</v>
      </c>
      <c r="I10" s="59">
        <f ca="1">D10*F10</f>
        <v>38931.237226490564</v>
      </c>
      <c r="J10" s="59">
        <f ca="1">E10*F10*Setup!$B$26</f>
        <v>58202.199653603398</v>
      </c>
      <c r="K10" s="59">
        <f ca="1">D10+H10*(1-G10)</f>
        <v>77839.926732390013</v>
      </c>
      <c r="L10" s="59">
        <f ca="1">E10*Setup!$B$26+H10*(1-G10)</f>
        <v>86254.926732390013</v>
      </c>
      <c r="M10" s="17">
        <f ca="1">(DATE(YEAR(IF(Setup!$B$7="",TODAY(),Setup!$B$7))+1,MONTH(IF(Setup!$B$7="",TODAY(),Setup!$B$7)),DAY(IF(Setup!$B$7="",TODAY(),Setup!$B$7)))-DATE(B10,7,1))/365.25</f>
        <v>1.754962354551677</v>
      </c>
      <c r="N10" s="57">
        <f ca="1">(1+Setup!$B$29)^M10</f>
        <v>1</v>
      </c>
      <c r="O10" s="59">
        <f ca="1">I10*N10</f>
        <v>38931.237226490564</v>
      </c>
      <c r="P10" s="59">
        <f ca="1">J10*N10</f>
        <v>58202.199653603398</v>
      </c>
      <c r="Q10" s="59">
        <f ca="1">K10*N10</f>
        <v>77839.926732390013</v>
      </c>
      <c r="R10" s="59">
        <f ca="1">L10*N10</f>
        <v>86254.926732390013</v>
      </c>
    </row>
    <row r="11" spans="1:18" ht="18" customHeight="1">
      <c r="A11" s="67"/>
      <c r="B11" s="67" t="s">
        <v>135</v>
      </c>
      <c r="C11" s="68">
        <f ca="1">SUM(C6:C10)</f>
        <v>193808875.95858181</v>
      </c>
      <c r="D11" s="68">
        <f ca="1">SUM(D6:D10)</f>
        <v>869386.9</v>
      </c>
      <c r="E11" s="68">
        <f ca="1">SUM(E6:E10)</f>
        <v>244000</v>
      </c>
      <c r="F11" s="67"/>
      <c r="G11" s="67"/>
      <c r="H11" s="68">
        <f ca="1">SUM(H6:H10)</f>
        <v>490962.65444953484</v>
      </c>
      <c r="I11" s="68">
        <f ca="1">SUM(I6:I10)</f>
        <v>1134302.5022277723</v>
      </c>
      <c r="J11" s="68">
        <f ca="1">SUM(J6:J10)</f>
        <v>528667.58410928701</v>
      </c>
      <c r="K11" s="68">
        <f ca="1">SUM(K6:K10)</f>
        <v>1004644.4684408423</v>
      </c>
      <c r="L11" s="68">
        <f ca="1">SUM(L6:L10)</f>
        <v>500037.56844084227</v>
      </c>
      <c r="M11" s="67"/>
      <c r="N11" s="67"/>
      <c r="O11" s="68">
        <f ca="1">SUM(O6:O10)</f>
        <v>1134302.5022277723</v>
      </c>
      <c r="P11" s="68">
        <f ca="1">SUM(P6:P10)</f>
        <v>528667.58410928701</v>
      </c>
      <c r="Q11" s="68">
        <f ca="1">SUM(Q6:Q10)</f>
        <v>1004644.4684408423</v>
      </c>
      <c r="R11" s="68">
        <f ca="1">SUM(R6:R10)</f>
        <v>500037.56844084227</v>
      </c>
    </row>
    <row r="12" spans="1:18" ht="18" customHeight="1"/>
    <row r="13" spans="1:18" ht="18" customHeight="1">
      <c r="A13" s="155" t="str">
        <f>"── INDICATION  ("&amp;IF(Setup!$B$29=0,"No Trend Applied",TEXT(Setup!$B$29,"0.0%")&amp;" Annual Trend")&amp;") ──"</f>
        <v>── INDICATION  (No Trend Applied) ──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</row>
    <row r="14" spans="1:18" ht="18" customHeight="1">
      <c r="A14" s="158" t="s">
        <v>136</v>
      </c>
      <c r="B14" s="147"/>
      <c r="C14" s="147"/>
      <c r="D14" s="147"/>
      <c r="E14" s="147"/>
      <c r="F14" s="69">
        <f ca="1">Setup!$B$16*P11+(1-Setup!$B$16)*O11</f>
        <v>831485.04316852964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ht="18" customHeight="1">
      <c r="A15" s="158" t="s">
        <v>137</v>
      </c>
      <c r="B15" s="147"/>
      <c r="C15" s="147"/>
      <c r="D15" s="147"/>
      <c r="E15" s="147"/>
      <c r="F15" s="69">
        <f ca="1">Setup!$B$16*R11+(1-Setup!$B$16)*Q11</f>
        <v>752341.01844084228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18" customHeight="1">
      <c r="A16" s="159" t="s">
        <v>138</v>
      </c>
      <c r="B16" s="147"/>
      <c r="C16" s="147"/>
      <c r="D16" s="147"/>
      <c r="E16" s="147"/>
      <c r="F16" s="70">
        <f ca="1">Setup!$B$17*F14+(1-Setup!$B$17)*F15</f>
        <v>791913.03080468602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ht="18" customHeight="1">
      <c r="A17" s="163" t="s">
        <v>139</v>
      </c>
      <c r="B17" s="147"/>
      <c r="C17" s="147"/>
      <c r="D17" s="147"/>
      <c r="E17" s="147"/>
      <c r="F17" s="71">
        <f ca="1">Setup!$B$17*(Setup!$B$16*J11+(1-Setup!$B$16)*I11)+(1-Setup!$B$17)*(Setup!$B$16*L11+(1-Setup!$B$16)*K11)</f>
        <v>791913.03080468602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18" customHeight="1">
      <c r="A18" s="159" t="s">
        <v>140</v>
      </c>
      <c r="B18" s="147"/>
      <c r="C18" s="147"/>
      <c r="D18" s="147"/>
      <c r="E18" s="147"/>
      <c r="F18" s="72">
        <f ca="1">IFERROR(F16/C11/Setup!$B$30*1000,0)</f>
        <v>6.8100856826763962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18" customHeight="1">
      <c r="A19" s="164" t="s">
        <v>141</v>
      </c>
      <c r="B19" s="147"/>
      <c r="C19" s="147"/>
      <c r="D19" s="147"/>
      <c r="E19" s="147"/>
      <c r="F19" s="73">
        <f ca="1">IFERROR(F18*Setup!$B$8/1000,0)</f>
        <v>304853.25404209568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18" customHeight="1">
      <c r="A20" s="13"/>
      <c r="B20" s="7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ht="18" customHeight="1">
      <c r="A21" s="155" t="s">
        <v>142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</row>
    <row r="22" spans="1:18" ht="42" customHeight="1">
      <c r="A22" s="41" t="s">
        <v>143</v>
      </c>
      <c r="B22" s="75" t="s">
        <v>120</v>
      </c>
      <c r="C22" s="41" t="s">
        <v>144</v>
      </c>
      <c r="D22" s="41" t="str">
        <f>IF(Setup!$B$10=0,"Case Incurred"&amp;CHAR(10)&amp;"Unlimited ($)","Net Unlimited"&amp;CHAR(10)&amp;"Loss ($)")</f>
        <v>Net Unlimited
Loss ($)</v>
      </c>
      <c r="E22" s="41" t="str">
        <f>IF(Setup!$B$10=0,"Case Incurred"&amp;CHAR(10)&amp;"Capped to "&amp;Setup!$B$15&amp;CHAR(10)&amp;"($)","Net Capped"&amp;CHAR(10)&amp;"(ded.+limit) ($)")</f>
        <v>Net Capped
(ded.+limit) ($)</v>
      </c>
      <c r="F22" s="41" t="s">
        <v>145</v>
      </c>
      <c r="G22" s="41" t="s">
        <v>123</v>
      </c>
      <c r="H22" s="41" t="s">
        <v>146</v>
      </c>
      <c r="I22" s="41" t="s">
        <v>147</v>
      </c>
      <c r="J22" s="41" t="s">
        <v>148</v>
      </c>
      <c r="K22" s="41" t="s">
        <v>149</v>
      </c>
      <c r="L22" s="41" t="s">
        <v>150</v>
      </c>
      <c r="M22" s="13"/>
      <c r="N22" s="13"/>
      <c r="O22" s="13"/>
      <c r="P22" s="13"/>
      <c r="Q22" s="13"/>
      <c r="R22" s="13"/>
    </row>
    <row r="23" spans="1:18" ht="18" customHeight="1">
      <c r="A23" s="76">
        <f t="shared" ref="A23:H27" ca="1" si="0">A6</f>
        <v>63.009198423127458</v>
      </c>
      <c r="B23" s="77">
        <f t="shared" ca="1" si="0"/>
        <v>2021</v>
      </c>
      <c r="C23" s="56">
        <f t="shared" ca="1" si="0"/>
        <v>35074522.202070899</v>
      </c>
      <c r="D23" s="56">
        <f t="shared" ca="1" si="0"/>
        <v>0</v>
      </c>
      <c r="E23" s="56">
        <f t="shared" ca="1" si="0"/>
        <v>0</v>
      </c>
      <c r="F23" s="78">
        <f t="shared" ca="1" si="0"/>
        <v>1.0575505622109267</v>
      </c>
      <c r="G23" s="79">
        <f t="shared" ca="1" si="0"/>
        <v>0.94558126649697882</v>
      </c>
      <c r="H23" s="56">
        <f t="shared" ca="1" si="0"/>
        <v>88851.867277523226</v>
      </c>
      <c r="I23" s="56">
        <f t="shared" ref="I23:J28" ca="1" si="1">K6</f>
        <v>4835.2060866213442</v>
      </c>
      <c r="J23" s="56">
        <f t="shared" ca="1" si="1"/>
        <v>4835.2060866213442</v>
      </c>
      <c r="K23" s="57">
        <f ca="1">IFERROR(I23/C23*1000,0)</f>
        <v>0.13785522319491098</v>
      </c>
      <c r="L23" s="57">
        <f ca="1">IFERROR(J23/C23*1000,0)</f>
        <v>0.13785522319491098</v>
      </c>
      <c r="M23" s="13"/>
      <c r="N23" s="13"/>
      <c r="O23" s="13"/>
      <c r="P23" s="13"/>
      <c r="Q23" s="13"/>
      <c r="R23" s="13"/>
    </row>
    <row r="24" spans="1:18" ht="18" customHeight="1">
      <c r="A24" s="80">
        <f t="shared" ca="1" si="0"/>
        <v>51.018396846254923</v>
      </c>
      <c r="B24" s="45">
        <f t="shared" ca="1" si="0"/>
        <v>2022</v>
      </c>
      <c r="C24" s="62">
        <f t="shared" ca="1" si="0"/>
        <v>36828248.312174447</v>
      </c>
      <c r="D24" s="62">
        <f t="shared" ca="1" si="0"/>
        <v>560386.9</v>
      </c>
      <c r="E24" s="62">
        <f t="shared" ca="1" si="0"/>
        <v>100000</v>
      </c>
      <c r="F24" s="81">
        <f t="shared" ca="1" si="0"/>
        <v>1.1251582920470806</v>
      </c>
      <c r="G24" s="82">
        <f t="shared" ca="1" si="0"/>
        <v>0.88876383622488242</v>
      </c>
      <c r="H24" s="62">
        <f t="shared" ca="1" si="0"/>
        <v>93294.46064139939</v>
      </c>
      <c r="I24" s="62">
        <f t="shared" ca="1" si="1"/>
        <v>570764.61790321802</v>
      </c>
      <c r="J24" s="62">
        <f t="shared" ca="1" si="1"/>
        <v>159877.71790321797</v>
      </c>
      <c r="K24" s="63">
        <f ca="1">IFERROR(I24/C24*1000,0)</f>
        <v>15.498011555291331</v>
      </c>
      <c r="L24" s="63">
        <f ca="1">IFERROR(J24/C24*1000,0)</f>
        <v>4.3411708465744931</v>
      </c>
      <c r="M24" s="13"/>
      <c r="N24" s="13"/>
      <c r="O24" s="13"/>
      <c r="P24" s="13"/>
      <c r="Q24" s="13"/>
      <c r="R24" s="13"/>
    </row>
    <row r="25" spans="1:18" ht="18" customHeight="1">
      <c r="A25" s="76">
        <f t="shared" ca="1" si="0"/>
        <v>39.027595269382388</v>
      </c>
      <c r="B25" s="77">
        <f t="shared" ca="1" si="0"/>
        <v>2023</v>
      </c>
      <c r="C25" s="56">
        <f t="shared" ca="1" si="0"/>
        <v>38669660.727783173</v>
      </c>
      <c r="D25" s="56">
        <f t="shared" ca="1" si="0"/>
        <v>0</v>
      </c>
      <c r="E25" s="56">
        <f t="shared" ca="1" si="0"/>
        <v>0</v>
      </c>
      <c r="F25" s="78">
        <f t="shared" ca="1" si="0"/>
        <v>1.2721884455399493</v>
      </c>
      <c r="G25" s="79">
        <f t="shared" ca="1" si="0"/>
        <v>0.78604706991783313</v>
      </c>
      <c r="H25" s="56">
        <f t="shared" ca="1" si="0"/>
        <v>97959.183673469379</v>
      </c>
      <c r="I25" s="56">
        <f t="shared" ca="1" si="1"/>
        <v>20958.654375395938</v>
      </c>
      <c r="J25" s="56">
        <f t="shared" ca="1" si="1"/>
        <v>20958.654375395938</v>
      </c>
      <c r="K25" s="57">
        <f ca="1">IFERROR(I25/C25*1000,0)</f>
        <v>0.54199219700776102</v>
      </c>
      <c r="L25" s="57">
        <f ca="1">IFERROR(J25/C25*1000,0)</f>
        <v>0.54199219700776102</v>
      </c>
      <c r="M25" s="13"/>
      <c r="N25" s="13"/>
      <c r="O25" s="13"/>
      <c r="P25" s="13"/>
      <c r="Q25" s="13"/>
      <c r="R25" s="13"/>
    </row>
    <row r="26" spans="1:18" ht="18" customHeight="1">
      <c r="A26" s="80">
        <f t="shared" ca="1" si="0"/>
        <v>27.036793692509853</v>
      </c>
      <c r="B26" s="45">
        <f t="shared" ca="1" si="0"/>
        <v>2024</v>
      </c>
      <c r="C26" s="62">
        <f t="shared" ca="1" si="0"/>
        <v>40603143.76417233</v>
      </c>
      <c r="D26" s="62">
        <f t="shared" ca="1" si="0"/>
        <v>292000</v>
      </c>
      <c r="E26" s="62">
        <f t="shared" ca="1" si="0"/>
        <v>127000</v>
      </c>
      <c r="F26" s="81">
        <f t="shared" ca="1" si="0"/>
        <v>1.5919428003826144</v>
      </c>
      <c r="G26" s="82">
        <f t="shared" ca="1" si="0"/>
        <v>0.62816327305205666</v>
      </c>
      <c r="H26" s="62">
        <f t="shared" ca="1" si="0"/>
        <v>102857.14285714286</v>
      </c>
      <c r="I26" s="62">
        <f t="shared" ca="1" si="1"/>
        <v>330246.06334321701</v>
      </c>
      <c r="J26" s="62">
        <f t="shared" ca="1" si="1"/>
        <v>228111.06334321701</v>
      </c>
      <c r="K26" s="63">
        <f ca="1">IFERROR(I26/C26*1000,0)</f>
        <v>8.1335096922869727</v>
      </c>
      <c r="L26" s="63">
        <f ca="1">IFERROR(J26/C26*1000,0)</f>
        <v>5.6180640757304898</v>
      </c>
      <c r="M26" s="13"/>
      <c r="N26" s="13"/>
      <c r="O26" s="13"/>
      <c r="P26" s="13"/>
      <c r="Q26" s="13"/>
      <c r="R26" s="13"/>
    </row>
    <row r="27" spans="1:18" ht="18" customHeight="1">
      <c r="A27" s="76">
        <f t="shared" ca="1" si="0"/>
        <v>15.013140604467806</v>
      </c>
      <c r="B27" s="77">
        <f t="shared" ca="1" si="0"/>
        <v>2025</v>
      </c>
      <c r="C27" s="56">
        <f t="shared" ca="1" si="0"/>
        <v>42633300.952380948</v>
      </c>
      <c r="D27" s="56">
        <f t="shared" ca="1" si="0"/>
        <v>17000</v>
      </c>
      <c r="E27" s="56">
        <f t="shared" ca="1" si="0"/>
        <v>17000</v>
      </c>
      <c r="F27" s="78">
        <f t="shared" ca="1" si="0"/>
        <v>2.2900727780288568</v>
      </c>
      <c r="G27" s="79">
        <f t="shared" ca="1" si="0"/>
        <v>0.43666734507046273</v>
      </c>
      <c r="H27" s="56">
        <f t="shared" ca="1" si="0"/>
        <v>108000</v>
      </c>
      <c r="I27" s="56">
        <f t="shared" ca="1" si="1"/>
        <v>77839.926732390013</v>
      </c>
      <c r="J27" s="56">
        <f t="shared" ca="1" si="1"/>
        <v>86254.926732390013</v>
      </c>
      <c r="K27" s="57">
        <f ca="1">IFERROR(I27/C27*1000,0)</f>
        <v>1.8258010755332534</v>
      </c>
      <c r="L27" s="57">
        <f ca="1">IFERROR(J27/C27*1000,0)</f>
        <v>2.0231819916720033</v>
      </c>
      <c r="M27" s="13"/>
      <c r="N27" s="13"/>
      <c r="O27" s="13"/>
      <c r="P27" s="13"/>
      <c r="Q27" s="13"/>
      <c r="R27" s="13"/>
    </row>
    <row r="28" spans="1:18" ht="18" customHeight="1">
      <c r="A28" s="67"/>
      <c r="B28" s="83" t="s">
        <v>135</v>
      </c>
      <c r="C28" s="68">
        <f ca="1">C11</f>
        <v>193808875.95858181</v>
      </c>
      <c r="D28" s="68">
        <f ca="1">D11</f>
        <v>869386.9</v>
      </c>
      <c r="E28" s="68">
        <f ca="1">E11</f>
        <v>244000</v>
      </c>
      <c r="F28" s="67"/>
      <c r="G28" s="67"/>
      <c r="H28" s="68">
        <f ca="1">H11</f>
        <v>490962.65444953484</v>
      </c>
      <c r="I28" s="68">
        <f t="shared" ca="1" si="1"/>
        <v>1004644.4684408423</v>
      </c>
      <c r="J28" s="68">
        <f t="shared" ca="1" si="1"/>
        <v>500037.56844084227</v>
      </c>
      <c r="K28" s="84">
        <f ca="1">IFERROR(K11/C11*1000,0)</f>
        <v>5.1836865750954635</v>
      </c>
      <c r="L28" s="84">
        <f ca="1">IFERROR(L11/C11*1000,0)</f>
        <v>2.5800550463318483</v>
      </c>
      <c r="M28" s="13"/>
      <c r="N28" s="13"/>
      <c r="O28" s="13"/>
      <c r="P28" s="13"/>
      <c r="Q28" s="13"/>
      <c r="R28" s="13"/>
    </row>
    <row r="29" spans="1:18" ht="6" customHeight="1">
      <c r="A29" s="13"/>
      <c r="B29" s="7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ht="18" customHeight="1">
      <c r="A30" s="85" t="s">
        <v>151</v>
      </c>
      <c r="B30" s="86">
        <f>Setup!$B$26</f>
        <v>1.4950000000000001</v>
      </c>
      <c r="C30" s="13"/>
      <c r="D30" s="85" t="s">
        <v>152</v>
      </c>
      <c r="E30" s="86">
        <f>Setup!$B$25</f>
        <v>1.1080000000000001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ht="18" customHeight="1">
      <c r="A31" s="85" t="s">
        <v>102</v>
      </c>
      <c r="B31" s="87">
        <f>IFERROR(Ref!B38,0)</f>
        <v>2.5332310092673813</v>
      </c>
      <c r="C31" s="13"/>
      <c r="D31" s="85" t="s">
        <v>101</v>
      </c>
      <c r="E31" s="88">
        <f>Setup!$B$30</f>
        <v>0.6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ht="18" customHeight="1">
      <c r="A32" s="85" t="s">
        <v>153</v>
      </c>
      <c r="B32" s="89">
        <f ca="1">IFERROR(Setup!$B$16*(J28/C28*1000)+(1-Setup!$B$16)*(I28/C28*1000),0)</f>
        <v>3.8818708107136559</v>
      </c>
      <c r="C32" s="13"/>
      <c r="D32" s="85" t="s">
        <v>154</v>
      </c>
      <c r="E32" s="88">
        <f>Setup!$B$16</f>
        <v>0.5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ht="18" customHeight="1">
      <c r="A33" s="85" t="s">
        <v>155</v>
      </c>
      <c r="B33" s="89">
        <f ca="1">IFERROR(B32/Setup!$B$30,0)</f>
        <v>6.46978468452276</v>
      </c>
      <c r="C33" s="13"/>
      <c r="D33" s="85" t="s">
        <v>156</v>
      </c>
      <c r="E33" s="90">
        <f>Setup!$B$8</f>
        <v>44764966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ht="18" customHeight="1">
      <c r="A34" s="91" t="s">
        <v>157</v>
      </c>
      <c r="B34" s="73">
        <f ca="1">IFERROR(MAX(B33*Setup!$B$8/1000,Setup!$B$9*0.9),0)</f>
        <v>289619.69142998208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ht="18" customHeight="1">
      <c r="A35" s="91" t="s">
        <v>158</v>
      </c>
      <c r="B35" s="73">
        <f ca="1">IFERROR(B33*Setup!$B$8/1000,0)</f>
        <v>289619.69142998208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ht="18" customHeight="1">
      <c r="A36" s="92" t="s">
        <v>159</v>
      </c>
      <c r="B36" s="93">
        <v>290000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ht="18" customHeight="1">
      <c r="A37" s="3" t="s">
        <v>160</v>
      </c>
      <c r="B37" s="58">
        <f ca="1">IFERROR(B32*Setup!$B$8/1000/B36,0)</f>
        <v>0.59921315468272163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ht="18" customHeight="1">
      <c r="A38" s="8" t="s">
        <v>161</v>
      </c>
      <c r="B38" s="13"/>
      <c r="C38" s="13"/>
      <c r="D38" s="13"/>
      <c r="E38" s="13"/>
      <c r="F38" s="94" t="str">
        <f>IF(Setup!$B$10=0,"Ground-Up  (No Deductible)","Net of $"&amp;TEXT(Setup!$B$10,"#,##0")&amp;" per Occ. Deductible")</f>
        <v>Net of $10,000 per Occ. Deductible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ht="18" customHeight="1">
      <c r="A39" s="155" t="s">
        <v>162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</row>
    <row r="40" spans="1:18" ht="18" customHeight="1">
      <c r="A40" s="158" t="s">
        <v>163</v>
      </c>
      <c r="B40" s="147"/>
      <c r="C40" s="147"/>
      <c r="D40" s="147"/>
      <c r="E40" s="147"/>
      <c r="F40" s="58">
        <f ca="1">IFERROR(B35/F19-1,0)</f>
        <v>-4.997014927716692E-2</v>
      </c>
      <c r="G40" s="92" t="str">
        <f ca="1">IF(D11=0,"-",IFERROR(IF(ABS(F40)&gt;0.15,"REFER — variance &gt; 15%","IN RANGE"),"-"))</f>
        <v>IN RANGE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ht="18" customHeight="1">
      <c r="A41" s="160" t="s">
        <v>164</v>
      </c>
      <c r="B41" s="147"/>
      <c r="C41" s="147"/>
      <c r="D41" s="147"/>
      <c r="E41" s="147"/>
      <c r="F41" s="95" t="str">
        <f ca="1">IF(D11=0,"-",IF((D11-E11)/D11&gt;0.5,"REFER — large loss &gt; 50% of total","OK TO BIND"))</f>
        <v>REFER — large loss &gt; 50% of total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ht="18" customHeight="1">
      <c r="A42" s="158" t="s">
        <v>165</v>
      </c>
      <c r="B42" s="147"/>
      <c r="C42" s="147"/>
      <c r="D42" s="147"/>
      <c r="E42" s="147"/>
      <c r="F42" s="96" t="str">
        <f ca="1">IFERROR(IF(DATEDIF(Setup!$B$7,TODAY(),"M")&gt;6,"REFER — "&amp;DATEDIF(Setup!$B$7,TODAY(),"M")&amp;" months since val date; request fresh loss runs",DATEDIF(Setup!$B$7,TODAY(),"M")&amp;" months since valuation date"),"-")</f>
        <v>1 months since valuation date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ht="18" customHeight="1">
      <c r="A43" s="158" t="s">
        <v>166</v>
      </c>
      <c r="B43" s="147"/>
      <c r="C43" s="147"/>
      <c r="D43" s="147"/>
      <c r="E43" s="147"/>
      <c r="F43" s="95" t="str">
        <f ca="1">IF(COUNTA(LossRun!$A$3:$A$1002)=0,"-",IF(COUNTA(LossRun!$A$3:$A$1002)&lt;5,"REFER — fewer than 5 claims",IF(COUNTIF(OFFSET($D$6,0,0,ROW($D$11)-ROW($D$6),1),0)&gt;0,"REFER — AY with zero losses","OK TO BIND")))</f>
        <v>REFER — AY with zero losses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ht="18" customHeight="1">
      <c r="A44" s="166" t="s">
        <v>167</v>
      </c>
      <c r="B44" s="147"/>
      <c r="C44" s="147"/>
      <c r="D44" s="147"/>
      <c r="E44" s="147"/>
      <c r="F44" s="97" t="str">
        <f ca="1">IFERROR(IF(ABS(Setup!$B$9/F19-1)&gt;0.15,"REFER — review premium adequacy","OK TO BIND"),"-")</f>
        <v>REFER — review premium adequacy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18" ht="15" customHeight="1">
      <c r="A45" s="98" t="s">
        <v>168</v>
      </c>
      <c r="B45" s="99"/>
      <c r="C45" s="13"/>
      <c r="D45" s="13"/>
      <c r="E45" s="13"/>
      <c r="F45" s="13" t="str">
        <f ca="1">IFERROR(IF(COUNTIFS(LossRun!$D$3:$D$1002,"&lt;"&amp;MIN($B$6:$B$10),LossRun!$D$3:$D$1002,"&gt;2000")+COUNTIFS(LossRun!$D$3:$D$1002,"&gt;"&amp;MAX($B$6:$B$10))&gt;0,"REFER — "&amp;(COUNTIFS(LossRun!$D$3:$D$1002,"&lt;"&amp;MIN($B$6:$B$10),LossRun!$D$3:$D$1002,"&gt;2000")+COUNTIFS(LossRun!$D$3:$D$1002,"&gt;"&amp;MAX($B$6:$B$10)))&amp;" claim(s) dated outside "&amp;TEXT(MIN($B$6:$B$10),"0")&amp;"–"&amp;TEXT(MAX($B$6:$B$10),"0")&amp;" window. Confirm val date or escalate to UW manager.","OK — All claims within window"),"-")</f>
        <v>REFER — 1 claim(s) dated outside 2021–2025 window. Confirm val date or escalate to UW manager.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1:18" ht="15" customHeight="1">
      <c r="A46" s="155" t="s">
        <v>169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</row>
    <row r="47" spans="1:18" ht="15" customHeight="1">
      <c r="A47" s="158" t="s">
        <v>170</v>
      </c>
      <c r="B47" s="147"/>
      <c r="C47" s="147"/>
      <c r="D47" s="147"/>
      <c r="E47" s="147"/>
      <c r="F47" s="78">
        <f>IFERROR(Ref!B39,"-")</f>
        <v>4.2220516821123022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1:18" ht="15" customHeight="1">
      <c r="A48" s="158" t="s">
        <v>171</v>
      </c>
      <c r="B48" s="147"/>
      <c r="C48" s="147"/>
      <c r="D48" s="147"/>
      <c r="E48" s="147"/>
      <c r="F48" s="78">
        <f>IFERROR(Ref!B44,"-")</f>
        <v>3.7375000000000003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ht="15" customHeight="1">
      <c r="A49" s="158" t="s">
        <v>172</v>
      </c>
      <c r="B49" s="147"/>
      <c r="C49" s="147"/>
      <c r="D49" s="147"/>
      <c r="E49" s="147"/>
      <c r="F49" s="78">
        <f>IFERROR(Ref!B48,"-")</f>
        <v>3.1666666666666665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1:18" ht="15" customHeight="1">
      <c r="A50" s="158" t="s">
        <v>173</v>
      </c>
      <c r="B50" s="147"/>
      <c r="C50" s="147"/>
      <c r="D50" s="147"/>
      <c r="E50" s="147"/>
      <c r="F50" s="78">
        <f>IFERROR(Ref!B50,"-")</f>
        <v>3.7087394495929895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ht="1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1:18" ht="15" customHeight="1">
      <c r="A52" s="161" t="str">
        <f>IF(Setup!$B$10=0,"── DEDUCTIBLE ANALYSIS  (ded = $0  ·  section suppressed  —  use [+] at left margin to expand if needed) ──","── DEDUCTIBLE ANALYSIS  (Net of $"&amp;TEXT(Setup!$B$10,"#,##0")&amp;" per Occ. Deductible) ──")</f>
        <v>── DEDUCTIBLE ANALYSIS  (Net of $10,000 per Occ. Deductible) ──</v>
      </c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3"/>
      <c r="N52" s="13"/>
      <c r="O52" s="13"/>
      <c r="P52" s="13"/>
      <c r="Q52" s="13"/>
      <c r="R52" s="13"/>
    </row>
    <row r="53" spans="1:18" ht="36" customHeight="1" outlineLevel="1">
      <c r="A53" s="100" t="s">
        <v>120</v>
      </c>
      <c r="B53" s="100" t="s">
        <v>174</v>
      </c>
      <c r="C53" s="100" t="s">
        <v>175</v>
      </c>
      <c r="D53" s="100" t="s">
        <v>176</v>
      </c>
      <c r="E53" s="100" t="s">
        <v>177</v>
      </c>
      <c r="F53" s="100" t="s">
        <v>178</v>
      </c>
      <c r="G53" s="100" t="s">
        <v>179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1:18" ht="15" customHeight="1" outlineLevel="1">
      <c r="A54" s="101">
        <f ca="1">B6</f>
        <v>2021</v>
      </c>
      <c r="B54" s="102">
        <f ca="1">SUMIF(LossRun!$D:$D,B6,LossRun!$B:$B)</f>
        <v>5292.35</v>
      </c>
      <c r="C54" s="103">
        <f t="shared" ref="C54:C59" ca="1" si="2">D6</f>
        <v>0</v>
      </c>
      <c r="D54" s="102">
        <f t="shared" ref="D54:D59" ca="1" si="3">B54-C54</f>
        <v>5292.35</v>
      </c>
      <c r="E54" s="104" t="str">
        <f ca="1">IF(B54=0,"-",IF(Setup!$B$10=0,"0.0%",TEXT(D54/B54,"0.0%")))</f>
        <v>100.0%</v>
      </c>
      <c r="F54" s="103">
        <f t="shared" ref="F54:F59" ca="1" si="4">E6</f>
        <v>0</v>
      </c>
      <c r="G54" s="105" t="str">
        <f ca="1">IF(C54=0,"-",IF(C54&gt;F54,"Large loss: $"&amp;TEXT(C54-F54,"#,##0")&amp;" above per-occ cap","Within cap"))</f>
        <v>-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1:18" ht="15" customHeight="1" outlineLevel="1">
      <c r="A55" s="101">
        <f ca="1">B7</f>
        <v>2022</v>
      </c>
      <c r="B55" s="102">
        <f ca="1">SUMIF(LossRun!$D:$D,B7,LossRun!$B:$B)</f>
        <v>576345.05000000005</v>
      </c>
      <c r="C55" s="103">
        <f t="shared" ca="1" si="2"/>
        <v>560386.9</v>
      </c>
      <c r="D55" s="102">
        <f t="shared" ca="1" si="3"/>
        <v>15958.150000000023</v>
      </c>
      <c r="E55" s="104" t="str">
        <f ca="1">IF(B55=0,"-",IF(Setup!$B$10=0,"0.0%",TEXT(D55/B55,"0.0%")))</f>
        <v>2.8%</v>
      </c>
      <c r="F55" s="103">
        <f t="shared" ca="1" si="4"/>
        <v>100000</v>
      </c>
      <c r="G55" s="105" t="str">
        <f ca="1">IF(C55=0,"-",IF(C55&gt;F55,"Large loss: $"&amp;TEXT(C55-F55,"#,##0")&amp;" above per-occ cap","Within cap"))</f>
        <v>Large loss: $460,387 above per-occ cap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1:18" ht="15" customHeight="1" outlineLevel="1">
      <c r="A56" s="101">
        <f ca="1">B8</f>
        <v>2023</v>
      </c>
      <c r="B56" s="102">
        <f ca="1">SUMIF(LossRun!$D:$D,B8,LossRun!$B:$B)</f>
        <v>0</v>
      </c>
      <c r="C56" s="103">
        <f t="shared" ca="1" si="2"/>
        <v>0</v>
      </c>
      <c r="D56" s="102">
        <f t="shared" ca="1" si="3"/>
        <v>0</v>
      </c>
      <c r="E56" s="104" t="str">
        <f ca="1">IF(B56=0,"-",IF(Setup!$B$10=0,"0.0%",TEXT(D56/B56,"0.0%")))</f>
        <v>-</v>
      </c>
      <c r="F56" s="103">
        <f t="shared" ca="1" si="4"/>
        <v>0</v>
      </c>
      <c r="G56" s="105" t="str">
        <f ca="1">IF(C56=0,"-",IF(C56&gt;F56,"Large loss: $"&amp;TEXT(C56-F56,"#,##0")&amp;" above per-occ cap","Within cap"))</f>
        <v>-</v>
      </c>
    </row>
    <row r="57" spans="1:18" ht="15" customHeight="1" outlineLevel="1">
      <c r="A57" s="101">
        <f ca="1">B9</f>
        <v>2024</v>
      </c>
      <c r="B57" s="102">
        <f ca="1">SUMIF(LossRun!$D:$D,B9,LossRun!$B:$B)</f>
        <v>330296.05</v>
      </c>
      <c r="C57" s="103">
        <f t="shared" ca="1" si="2"/>
        <v>292000</v>
      </c>
      <c r="D57" s="102">
        <f t="shared" ca="1" si="3"/>
        <v>38296.049999999988</v>
      </c>
      <c r="E57" s="104" t="str">
        <f ca="1">IF(B57=0,"-",IF(Setup!$B$10=0,"0.0%",TEXT(D57/B57,"0.0%")))</f>
        <v>11.6%</v>
      </c>
      <c r="F57" s="103">
        <f t="shared" ca="1" si="4"/>
        <v>127000</v>
      </c>
      <c r="G57" s="105" t="str">
        <f ca="1">IF(C57=0,"-",IF(C57&gt;F57,"Large loss: $"&amp;TEXT(C57-F57,"#,##0")&amp;" above per-occ cap","Within cap"))</f>
        <v>Large loss: $165,000 above per-occ cap</v>
      </c>
    </row>
    <row r="58" spans="1:18" ht="15" customHeight="1" outlineLevel="1">
      <c r="A58" s="101">
        <f ca="1">B10</f>
        <v>2025</v>
      </c>
      <c r="B58" s="102">
        <f ca="1">SUMIF(LossRun!$D:$D,B10,LossRun!$B:$B)</f>
        <v>27012</v>
      </c>
      <c r="C58" s="103">
        <f t="shared" ca="1" si="2"/>
        <v>17000</v>
      </c>
      <c r="D58" s="102">
        <f t="shared" ca="1" si="3"/>
        <v>10012</v>
      </c>
      <c r="E58" s="104" t="str">
        <f ca="1">IF(B58=0,"-",IF(Setup!$B$10=0,"0.0%",TEXT(D58/B58,"0.0%")))</f>
        <v>37.1%</v>
      </c>
      <c r="F58" s="103">
        <f t="shared" ca="1" si="4"/>
        <v>17000</v>
      </c>
      <c r="G58" s="105" t="str">
        <f ca="1">IF(C58=0,"-",IF(C58&gt;F58,"Large loss: $"&amp;TEXT(C58-F58,"#,##0")&amp;" above per-occ cap","Within cap"))</f>
        <v>Within cap</v>
      </c>
    </row>
    <row r="59" spans="1:18" ht="15" customHeight="1" outlineLevel="1">
      <c r="A59" s="106" t="s">
        <v>180</v>
      </c>
      <c r="B59" s="107">
        <f ca="1">SUMPRODUCT(SUMIF(LossRun!$D:$D,OFFSET($B$6,0,0,ROW($B$11)-ROW($B$6),1),LossRun!$B:$B))</f>
        <v>0</v>
      </c>
      <c r="C59" s="108">
        <f t="shared" ca="1" si="2"/>
        <v>869386.9</v>
      </c>
      <c r="D59" s="107">
        <f t="shared" ca="1" si="3"/>
        <v>-869386.9</v>
      </c>
      <c r="E59" s="109" t="str">
        <f ca="1">IF(B59=0,"-",IF(Setup!$B$10=0,"0.0%",TEXT(D59/B59,"0.0%")))</f>
        <v>-</v>
      </c>
      <c r="F59" s="108">
        <f t="shared" ca="1" si="4"/>
        <v>244000</v>
      </c>
    </row>
    <row r="60" spans="1:18" ht="15" customHeight="1" outlineLevel="1"/>
    <row r="61" spans="1:18" ht="21.75" customHeight="1" outlineLevel="1">
      <c r="A61" s="165" t="s">
        <v>181</v>
      </c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</row>
    <row r="62" spans="1:18" ht="18" customHeight="1">
      <c r="A62" s="110" t="s">
        <v>182</v>
      </c>
    </row>
    <row r="63" spans="1:18" ht="18" customHeight="1">
      <c r="A63" s="98" t="s">
        <v>183</v>
      </c>
      <c r="F63" s="111" t="str">
        <f>IF(OR(Setup!$B$9="",Setup!$B$9=0),"REFER — Setup B9 is blank/zero. BF a-priori loss cost = 0; method understates indication.","OK")</f>
        <v>OK</v>
      </c>
    </row>
    <row r="64" spans="1:18" ht="18" customHeight="1">
      <c r="A64" s="98" t="s">
        <v>184</v>
      </c>
      <c r="F64" s="111" t="str">
        <f>IF(OR(Setup!$B$26=0,Setup!$B$26="",ISERROR(Setup!$B$26)),"REFER — Selected limit (Setup B15) has no XS rate. Populate Setup B22/B23 or change limit.","OK")</f>
        <v>OK</v>
      </c>
    </row>
    <row r="65" spans="1:6" ht="18" customHeight="1">
      <c r="A65" s="98" t="s">
        <v>185</v>
      </c>
      <c r="F65" s="111" t="str">
        <f>IF(OR(ISNUMBER(SEARCH(" LLC",Setup!$B$4)),ISNUMBER(SEARCH(" Inc",Setup!$B$4)),ISNUMBER(SEARCH(" Inc.",Setup!$B$4)),ISNUMBER(SEARCH(", LLC",Setup!$B$4)),ISNUMBER(SEARCH(" LP",Setup!$B$4)),ISNUMBER(SEARCH(", LP",Setup!$B$4))),"REFER — strip entity suffix (LLC/Inc/LP) per desk convention.","OK")</f>
        <v>OK</v>
      </c>
    </row>
    <row r="66" spans="1:6" ht="18" customHeight="1">
      <c r="A66" s="98" t="s">
        <v>186</v>
      </c>
      <c r="F66" s="111" t="str">
        <f>IF(Setup!$B$10=0,"VERIFY — Setup B10 = $0. Confirm against ACORD 829 LOB Additional Coverages Overflow page; missing deductibles understate indication.","OK — deductible = $"&amp;TEXT(Setup!$B$10,"#,##0"))</f>
        <v>OK — deductible = $10,000</v>
      </c>
    </row>
    <row r="67" spans="1:6" ht="18" customHeight="1">
      <c r="A67" s="98" t="s">
        <v>187</v>
      </c>
      <c r="F67" s="111" t="str">
        <f>IFERROR(IF(COUNT(LossRun!$C$3:$C$1002)&lt;2,"OK — single carrier or no per-row val dates",IF(MAX(LossRun!$C$3:$C$1002)-MIN(LossRun!$C$3:$C$1002)&gt;30,"REFER — per-row val dates span "&amp;TEXT(MAX(LossRun!$C$3:$C$1002)-MIN(LossRun!$C$3:$C$1002),"0")&amp;" days. Setup B7 should be earliest.","OK")),"-")</f>
        <v>OK — single carrier or no per-row val dates</v>
      </c>
    </row>
    <row r="68" spans="1:6" ht="18" customHeight="1"/>
    <row r="69" spans="1:6" ht="18" customHeight="1"/>
  </sheetData>
  <mergeCells count="25">
    <mergeCell ref="A61:L61"/>
    <mergeCell ref="A1:R1"/>
    <mergeCell ref="A44:E44"/>
    <mergeCell ref="A40:E40"/>
    <mergeCell ref="A50:E50"/>
    <mergeCell ref="A52:L52"/>
    <mergeCell ref="A2:E2"/>
    <mergeCell ref="A42:E42"/>
    <mergeCell ref="A13:R13"/>
    <mergeCell ref="A47:E47"/>
    <mergeCell ref="A14:E14"/>
    <mergeCell ref="A17:E17"/>
    <mergeCell ref="A39:R39"/>
    <mergeCell ref="A43:E43"/>
    <mergeCell ref="F2:I2"/>
    <mergeCell ref="A19:E19"/>
    <mergeCell ref="J2:N2"/>
    <mergeCell ref="A48:E48"/>
    <mergeCell ref="A15:E15"/>
    <mergeCell ref="A46:R46"/>
    <mergeCell ref="A49:E49"/>
    <mergeCell ref="A21:R21"/>
    <mergeCell ref="A16:E16"/>
    <mergeCell ref="A41:E41"/>
    <mergeCell ref="A18:E18"/>
  </mergeCells>
  <conditionalFormatting sqref="B36">
    <cfRule type="expression" dxfId="2" priority="3">
      <formula>B36&lt;B35</formula>
    </cfRule>
    <cfRule type="expression" dxfId="1" priority="4">
      <formula>B36&gt;=B35</formula>
    </cfRule>
  </conditionalFormatting>
  <conditionalFormatting sqref="B37">
    <cfRule type="expression" dxfId="0" priority="2">
      <formula>B37&gt;$E$31</formula>
    </cfRule>
  </conditionalFormatting>
  <dataValidations count="1">
    <dataValidation type="custom" errorStyle="warning" showErrorMessage="1" errorTitle="Below Indication" error="Selected Premium is below the Premium Indication. Review adequacy before proceeding." sqref="B36" xr:uid="{00000000-0002-0000-0200-000000000000}">
      <formula1>B36&gt;=B35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FA81-A9CE-452F-89C9-12DFA535F83F}">
  <dimension ref="A1:E28"/>
  <sheetViews>
    <sheetView workbookViewId="0">
      <selection activeCell="C2" sqref="C2"/>
    </sheetView>
  </sheetViews>
  <sheetFormatPr defaultRowHeight="14.5"/>
  <cols>
    <col min="2" max="2" width="35.453125" bestFit="1" customWidth="1"/>
  </cols>
  <sheetData>
    <row r="1" spans="1:5">
      <c r="A1" t="s">
        <v>363</v>
      </c>
      <c r="B1" t="s">
        <v>364</v>
      </c>
      <c r="C1" t="s">
        <v>365</v>
      </c>
      <c r="D1" t="s">
        <v>366</v>
      </c>
      <c r="E1" t="s">
        <v>367</v>
      </c>
    </row>
    <row r="2" spans="1:5">
      <c r="A2" t="str">
        <f>SOV!A1</f>
        <v>BDE Florida, LLC</v>
      </c>
      <c r="B2" t="str">
        <f>_xlfn.CONCAT(SOV!C4,", ",SOV!D4,", ",SOV!E4," ",SOV!F4)</f>
        <v>3401 5th Ave. N, St. Petersburg, FL 33713</v>
      </c>
      <c r="C2">
        <f>SOV!N4</f>
        <v>2102629</v>
      </c>
      <c r="D2" s="212">
        <f>SOV!Q4</f>
        <v>2780</v>
      </c>
      <c r="E2">
        <v>35</v>
      </c>
    </row>
    <row r="3" spans="1:5">
      <c r="B3" t="str">
        <f>_xlfn.CONCAT(SOV!C5,", ",SOV!D5,", ",SOV!E5," ",SOV!F5)</f>
        <v>7329 W. Waters Ave., Tampa, FL 33634</v>
      </c>
      <c r="C3">
        <f>SOV!N5</f>
        <v>1645087</v>
      </c>
      <c r="D3" s="212">
        <f>SOV!Q5</f>
        <v>2182</v>
      </c>
      <c r="E3">
        <v>35</v>
      </c>
    </row>
    <row r="4" spans="1:5">
      <c r="B4" t="str">
        <f>_xlfn.CONCAT(SOV!C6,", ",SOV!D6,", ",SOV!E6," ",SOV!F6)</f>
        <v>5318 E. Fowler Ave., Tampa, FL 33617</v>
      </c>
      <c r="C4">
        <f>SOV!N6</f>
        <v>2080081</v>
      </c>
      <c r="D4" s="212">
        <f>SOV!Q6</f>
        <v>2599</v>
      </c>
      <c r="E4">
        <v>35</v>
      </c>
    </row>
    <row r="5" spans="1:5">
      <c r="B5" t="str">
        <f>_xlfn.CONCAT(SOV!C7,", ",SOV!D7,", ",SOV!E7," ",SOV!F7)</f>
        <v>3600 4th St. N, St. Petersburg, FL 33704</v>
      </c>
      <c r="C5">
        <f>SOV!N7</f>
        <v>1675024</v>
      </c>
      <c r="D5" s="212">
        <f>SOV!Q7</f>
        <v>2304</v>
      </c>
      <c r="E5">
        <v>35</v>
      </c>
    </row>
    <row r="6" spans="1:5">
      <c r="B6" t="str">
        <f>_xlfn.CONCAT(SOV!C8,", ",SOV!D8,", ",SOV!E8," ",SOV!F8)</f>
        <v>904 Bloomingdale Rd., Brandon, FL 33511</v>
      </c>
      <c r="C6">
        <f>SOV!N8</f>
        <v>1092838</v>
      </c>
      <c r="D6" s="212">
        <f>SOV!Q8</f>
        <v>1944</v>
      </c>
      <c r="E6">
        <v>35</v>
      </c>
    </row>
    <row r="7" spans="1:5">
      <c r="B7" t="str">
        <f>_xlfn.CONCAT(SOV!C9,", ",SOV!D9,", ",SOV!E9," ",SOV!F9)</f>
        <v>7313 Gall Blvd., Zephyrhills, FL 33541</v>
      </c>
      <c r="C7">
        <f>SOV!N9</f>
        <v>2955757</v>
      </c>
      <c r="D7" s="212">
        <f>SOV!Q9</f>
        <v>1944</v>
      </c>
      <c r="E7">
        <v>35</v>
      </c>
    </row>
    <row r="8" spans="1:5">
      <c r="B8" t="str">
        <f>_xlfn.CONCAT(SOV!C10,", ",SOV!D10,", ",SOV!E10," ",SOV!F10)</f>
        <v>706 E. Martin Luther King Jr Blvd.  W, Seffner, FL 33584</v>
      </c>
      <c r="C8">
        <f>SOV!N10</f>
        <v>2250722</v>
      </c>
      <c r="D8" s="212">
        <f>SOV!Q10</f>
        <v>1980</v>
      </c>
      <c r="E8">
        <v>35</v>
      </c>
    </row>
    <row r="9" spans="1:5">
      <c r="B9" t="str">
        <f>_xlfn.CONCAT(SOV!C11,", ",SOV!D11,", ",SOV!E11," ",SOV!F11)</f>
        <v>1701 E. Fowler Ave., Tampa, FL 33612</v>
      </c>
      <c r="C9">
        <f>SOV!N11</f>
        <v>1249150</v>
      </c>
      <c r="D9" s="212">
        <f>SOV!Q11</f>
        <v>2304</v>
      </c>
      <c r="E9">
        <v>35</v>
      </c>
    </row>
    <row r="10" spans="1:5">
      <c r="B10" t="str">
        <f>_xlfn.CONCAT(SOV!C12,", ",SOV!D12,", ",SOV!E12," ",SOV!F12)</f>
        <v>3802 S. Dale Mabry Hwy., Tampa, FL 33611</v>
      </c>
      <c r="C10">
        <f>SOV!N12</f>
        <v>2097026</v>
      </c>
      <c r="D10" s="212">
        <f>SOV!Q12</f>
        <v>2394</v>
      </c>
      <c r="E10">
        <v>35</v>
      </c>
    </row>
    <row r="11" spans="1:5">
      <c r="B11" t="str">
        <f>_xlfn.CONCAT(SOV!C13,", ",SOV!D13,", ",SOV!E13," ",SOV!F13)</f>
        <v>3710 Cortez Rd. W, Bradenton, FL 34210</v>
      </c>
      <c r="C11">
        <f>SOV!N13</f>
        <v>1885914</v>
      </c>
      <c r="D11" s="212">
        <f>SOV!Q13</f>
        <v>2166</v>
      </c>
      <c r="E11">
        <v>35</v>
      </c>
    </row>
    <row r="12" spans="1:5">
      <c r="B12" t="str">
        <f>_xlfn.CONCAT(SOV!C14,", ",SOV!D14,", ",SOV!E14," ",SOV!F14)</f>
        <v>7620 W. Hillsborough Ave., Tampa, FL 33615</v>
      </c>
      <c r="C12">
        <f>SOV!N14</f>
        <v>1338151</v>
      </c>
      <c r="D12" s="212">
        <f>SOV!Q14</f>
        <v>2304</v>
      </c>
      <c r="E12">
        <v>35</v>
      </c>
    </row>
    <row r="13" spans="1:5">
      <c r="B13" t="str">
        <f>_xlfn.CONCAT(SOV!C15,", ",SOV!D15,", ",SOV!E15," ",SOV!F15)</f>
        <v>6004 14th St., Bradenton, FL 34207</v>
      </c>
      <c r="C13">
        <f>SOV!N15</f>
        <v>2029898</v>
      </c>
      <c r="D13" s="212">
        <f>SOV!Q15</f>
        <v>2060</v>
      </c>
      <c r="E13">
        <v>35</v>
      </c>
    </row>
    <row r="14" spans="1:5">
      <c r="B14" t="str">
        <f>_xlfn.CONCAT(SOV!C16,", ",SOV!D16,", ",SOV!E16," ",SOV!F16)</f>
        <v>11315 Causeway Blvd., Brandon, FL 33511</v>
      </c>
      <c r="C14">
        <f>SOV!N16</f>
        <v>2265453</v>
      </c>
      <c r="D14" s="212">
        <f>SOV!Q16</f>
        <v>2062</v>
      </c>
      <c r="E14">
        <v>35</v>
      </c>
    </row>
    <row r="15" spans="1:5">
      <c r="B15" t="str">
        <f>_xlfn.CONCAT(SOV!C17,", ",SOV!D17,", ",SOV!E17," ",SOV!F17)</f>
        <v>9211 US Hwy 19 N, Port Richey, FL 34668</v>
      </c>
      <c r="C15">
        <f>SOV!N17</f>
        <v>1192856</v>
      </c>
      <c r="D15" s="212">
        <f>SOV!Q17</f>
        <v>2304</v>
      </c>
      <c r="E15">
        <v>35</v>
      </c>
    </row>
    <row r="16" spans="1:5">
      <c r="B16" t="str">
        <f>_xlfn.CONCAT(SOV!C18,", ",SOV!D18,", ",SOV!E18," ",SOV!F18)</f>
        <v>2442 Jim Redman Pkwy., Plant City, FL 33566</v>
      </c>
      <c r="C16">
        <f>SOV!N18</f>
        <v>2027013</v>
      </c>
      <c r="D16" s="212">
        <f>SOV!Q18</f>
        <v>2880</v>
      </c>
      <c r="E16">
        <v>35</v>
      </c>
    </row>
    <row r="17" spans="2:5">
      <c r="B17" t="str">
        <f>_xlfn.CONCAT(SOV!C19,", ",SOV!D19,", ",SOV!E19," ",SOV!F19)</f>
        <v>640 10th St. E, Palmetto, FL 34221</v>
      </c>
      <c r="C17">
        <f>SOV!N19</f>
        <v>1401049</v>
      </c>
      <c r="D17" s="212">
        <f>SOV!Q19</f>
        <v>3067</v>
      </c>
      <c r="E17">
        <v>35</v>
      </c>
    </row>
    <row r="18" spans="2:5">
      <c r="B18" t="str">
        <f>_xlfn.CONCAT(SOV!C20,", ",SOV!D20,", ",SOV!E20," ",SOV!F20)</f>
        <v>12816 US Hwy 301, Dade City, FL 33525</v>
      </c>
      <c r="C18">
        <f>SOV!N20</f>
        <v>1638276</v>
      </c>
      <c r="D18" s="212">
        <f>SOV!Q20</f>
        <v>2787</v>
      </c>
      <c r="E18">
        <v>35</v>
      </c>
    </row>
    <row r="19" spans="2:5">
      <c r="B19" t="str">
        <f>_xlfn.CONCAT(SOV!C21,", ",SOV!D21,", ",SOV!E21," ",SOV!F21)</f>
        <v>9442 State Rd. 52, Hudson, FL 34669</v>
      </c>
      <c r="C19">
        <f>SOV!N21</f>
        <v>2094664</v>
      </c>
      <c r="D19" s="212">
        <f>SOV!Q21</f>
        <v>2855</v>
      </c>
      <c r="E19">
        <v>35</v>
      </c>
    </row>
    <row r="20" spans="2:5">
      <c r="B20" t="str">
        <f>_xlfn.CONCAT(SOV!C22,", ",SOV!D22,", ",SOV!E22," ",SOV!F22)</f>
        <v>11118 Bloomingdale Ave., Riverview, FL 33578</v>
      </c>
      <c r="C20">
        <f>SOV!N22</f>
        <v>1209444</v>
      </c>
      <c r="D20" s="212">
        <f>SOV!Q22</f>
        <v>2300</v>
      </c>
      <c r="E20">
        <v>35</v>
      </c>
    </row>
    <row r="21" spans="2:5">
      <c r="B21" t="str">
        <f>_xlfn.CONCAT(SOV!C23,", ",SOV!D23,", ",SOV!E23," ",SOV!F23)</f>
        <v>3803 W. Minnehaha St., Tampa, FL 33614</v>
      </c>
      <c r="C21">
        <f>SOV!N23</f>
        <v>1658613</v>
      </c>
      <c r="D21" s="212">
        <f>SOV!Q23</f>
        <v>2300</v>
      </c>
      <c r="E21">
        <v>35</v>
      </c>
    </row>
    <row r="22" spans="2:5">
      <c r="B22" t="str">
        <f>_xlfn.CONCAT(SOV!C24,", ",SOV!D24,", ",SOV!E24," ",SOV!F24)</f>
        <v>903 Pasadena Ave. S , South Pasadena, FL 33707</v>
      </c>
      <c r="C22">
        <f>SOV!N24</f>
        <v>1205604</v>
      </c>
      <c r="D22" s="212">
        <f>SOV!Q24</f>
        <v>2141</v>
      </c>
      <c r="E22">
        <v>35</v>
      </c>
    </row>
    <row r="23" spans="2:5">
      <c r="B23" t="str">
        <f>_xlfn.CONCAT(SOV!C25,", ",SOV!D25,", ",SOV!E25," ",SOV!F25)</f>
        <v>1495 4th St. S, St. Petersburg, FL 33701</v>
      </c>
      <c r="C23">
        <f>SOV!N25</f>
        <v>1065855</v>
      </c>
      <c r="D23" s="212">
        <f>SOV!Q25</f>
        <v>1935</v>
      </c>
      <c r="E23">
        <v>35</v>
      </c>
    </row>
    <row r="24" spans="2:5">
      <c r="B24" t="str">
        <f>_xlfn.CONCAT(SOV!C26,", ",SOV!D26,", ",SOV!E26," ",SOV!F26)</f>
        <v>31001 Cortez Blvd., Brooksville, FL 34602</v>
      </c>
      <c r="C24">
        <f>SOV!N26</f>
        <v>1169572</v>
      </c>
      <c r="D24" s="212">
        <f>SOV!Q26</f>
        <v>2200</v>
      </c>
      <c r="E24">
        <v>35</v>
      </c>
    </row>
    <row r="25" spans="2:5">
      <c r="B25" t="str">
        <f>_xlfn.CONCAT(SOV!C27,", ",SOV!D27,", ",SOV!E27," ",SOV!F27)</f>
        <v>2575 E. Hillsborough Ave., Tampa, FL 33610</v>
      </c>
      <c r="C25">
        <f>SOV!N27</f>
        <v>1339608</v>
      </c>
      <c r="D25" s="212">
        <f>SOV!Q27</f>
        <v>2200</v>
      </c>
      <c r="E25">
        <v>35</v>
      </c>
    </row>
    <row r="26" spans="2:5">
      <c r="B26" t="str">
        <f>_xlfn.CONCAT(SOV!C28,", ",SOV!D28,", ",SOV!E28," ",SOV!F28)</f>
        <v>8347 State Rd. 64, Bradenton, FL 34212</v>
      </c>
      <c r="C26">
        <f>SOV!N28</f>
        <v>1678603</v>
      </c>
      <c r="D26" s="212">
        <f>SOV!Q28</f>
        <v>2258</v>
      </c>
      <c r="E26">
        <v>35</v>
      </c>
    </row>
    <row r="27" spans="2:5">
      <c r="B27" t="str">
        <f>_xlfn.CONCAT(SOV!C29,", ",SOV!D29,", ",SOV!E29," ",SOV!F29)</f>
        <v>15215 Garnett Trail, Bradenton, FL 34211</v>
      </c>
      <c r="C27">
        <f>SOV!N29</f>
        <v>916079</v>
      </c>
      <c r="D27" s="212">
        <f>SOV!Q29</f>
        <v>3000</v>
      </c>
      <c r="E27">
        <v>35</v>
      </c>
    </row>
    <row r="28" spans="2:5">
      <c r="B28" t="str">
        <f>_xlfn.CONCAT(SOV!C30,", ",SOV!D30,", ",SOV!E30," ",SOV!F30)</f>
        <v>3824 US 301 S, Riverview, FL 33578</v>
      </c>
      <c r="C28">
        <f>SOV!N30</f>
        <v>1500000</v>
      </c>
      <c r="D28" s="212">
        <f>SOV!Q30</f>
        <v>2200</v>
      </c>
      <c r="E28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zoomScaleNormal="100" workbookViewId="0">
      <selection activeCell="D10" sqref="D10"/>
    </sheetView>
  </sheetViews>
  <sheetFormatPr defaultColWidth="8.6328125" defaultRowHeight="14.5"/>
  <cols>
    <col min="1" max="1" width="46" customWidth="1"/>
    <col min="2" max="2" width="22" customWidth="1"/>
    <col min="3" max="5" width="18" customWidth="1"/>
    <col min="6" max="6" width="22" customWidth="1"/>
    <col min="7" max="7" width="30" customWidth="1"/>
    <col min="8" max="9" width="14" customWidth="1"/>
  </cols>
  <sheetData>
    <row r="1" spans="1:7" ht="25.5" customHeight="1">
      <c r="A1" s="151" t="s">
        <v>0</v>
      </c>
      <c r="B1" s="147"/>
      <c r="C1" s="147"/>
      <c r="D1" s="147"/>
      <c r="E1" s="147"/>
      <c r="F1" s="147"/>
      <c r="G1" s="147"/>
    </row>
    <row r="3" spans="1:7" ht="19.5" customHeight="1">
      <c r="A3" s="153" t="s">
        <v>1</v>
      </c>
      <c r="B3" s="147"/>
      <c r="C3" s="147"/>
      <c r="D3" s="147"/>
      <c r="E3" s="147"/>
      <c r="F3" s="147"/>
      <c r="G3" s="147"/>
    </row>
    <row r="4" spans="1:7" ht="15" customHeight="1">
      <c r="A4" s="111" t="s">
        <v>2</v>
      </c>
      <c r="B4" s="112" t="str">
        <f>Setup!B4</f>
        <v>BDE FLORIDA</v>
      </c>
      <c r="C4" s="113" t="s">
        <v>3</v>
      </c>
    </row>
    <row r="5" spans="1:7" ht="3.75" customHeight="1">
      <c r="A5" s="111"/>
      <c r="B5" s="112"/>
      <c r="C5" s="113"/>
    </row>
    <row r="6" spans="1:7" ht="15" customHeight="1">
      <c r="A6" s="111" t="s">
        <v>4</v>
      </c>
      <c r="B6" s="112" t="str">
        <f>Setup!B6</f>
        <v>$1MM/$2MM</v>
      </c>
      <c r="C6" s="113" t="s">
        <v>5</v>
      </c>
    </row>
    <row r="7" spans="1:7" ht="15" customHeight="1">
      <c r="A7" s="111" t="s">
        <v>6</v>
      </c>
      <c r="B7" s="114" t="s">
        <v>7</v>
      </c>
      <c r="C7" s="113" t="s">
        <v>8</v>
      </c>
    </row>
    <row r="8" spans="1:7" ht="15" customHeight="1">
      <c r="A8" s="111" t="s">
        <v>9</v>
      </c>
      <c r="B8" s="115">
        <v>1</v>
      </c>
      <c r="C8" s="113" t="s">
        <v>10</v>
      </c>
    </row>
    <row r="10" spans="1:7" ht="15" customHeight="1">
      <c r="A10" s="111" t="s">
        <v>11</v>
      </c>
      <c r="B10" s="116">
        <f>IF(Indication!B36&gt;0,Indication!B36,Indication!B35)</f>
        <v>290000</v>
      </c>
      <c r="C10" s="113" t="s">
        <v>12</v>
      </c>
    </row>
    <row r="11" spans="1:7" ht="15" customHeight="1">
      <c r="A11" s="117"/>
      <c r="C11" s="113"/>
    </row>
    <row r="12" spans="1:7" ht="15" customHeight="1">
      <c r="A12" s="111" t="s">
        <v>13</v>
      </c>
      <c r="B12" s="118">
        <f>B10</f>
        <v>290000</v>
      </c>
      <c r="C12" s="113" t="s">
        <v>14</v>
      </c>
    </row>
    <row r="13" spans="1:7" ht="60" customHeight="1">
      <c r="A13" s="150" t="s">
        <v>15</v>
      </c>
      <c r="B13" s="147"/>
      <c r="C13" s="147"/>
      <c r="D13" s="147"/>
      <c r="E13" s="147"/>
      <c r="F13" s="147"/>
      <c r="G13" s="147"/>
    </row>
    <row r="14" spans="1:7" ht="15" customHeight="1">
      <c r="A14" s="113" t="s">
        <v>16</v>
      </c>
      <c r="B14" s="119">
        <f>Indication!B36</f>
        <v>290000</v>
      </c>
    </row>
    <row r="15" spans="1:7" ht="15" customHeight="1">
      <c r="A15" s="113" t="s">
        <v>17</v>
      </c>
      <c r="B15" s="119">
        <f ca="1">Indication!B35</f>
        <v>289619.69142998208</v>
      </c>
    </row>
    <row r="16" spans="1:7" ht="15" customHeight="1">
      <c r="A16" s="113" t="s">
        <v>18</v>
      </c>
      <c r="B16" s="119">
        <f ca="1">Indication!B34</f>
        <v>289619.69142998208</v>
      </c>
    </row>
    <row r="17" spans="1:9" ht="15" customHeight="1">
      <c r="A17" s="113" t="s">
        <v>19</v>
      </c>
      <c r="B17" s="119">
        <f ca="1">Indication!F19</f>
        <v>304853.25404209568</v>
      </c>
    </row>
    <row r="18" spans="1:9" ht="19.5" customHeight="1">
      <c r="A18" s="153" t="s">
        <v>20</v>
      </c>
      <c r="B18" s="147"/>
      <c r="C18" s="147"/>
      <c r="D18" s="147"/>
      <c r="E18" s="147"/>
      <c r="F18" s="147"/>
      <c r="G18" s="147"/>
    </row>
    <row r="19" spans="1:9" ht="31.5" customHeight="1">
      <c r="A19" s="120" t="s">
        <v>21</v>
      </c>
      <c r="B19" s="120" t="s">
        <v>22</v>
      </c>
      <c r="C19" s="120" t="s">
        <v>23</v>
      </c>
      <c r="D19" s="120" t="s">
        <v>24</v>
      </c>
      <c r="E19" s="120" t="s">
        <v>25</v>
      </c>
      <c r="F19" s="120" t="s">
        <v>26</v>
      </c>
      <c r="G19" s="120" t="s">
        <v>27</v>
      </c>
    </row>
    <row r="20" spans="1:9" ht="15" customHeight="1">
      <c r="A20" s="121">
        <v>1000000</v>
      </c>
      <c r="B20" s="122">
        <f>INDEX($G$31:$H$35,MATCH(A20,$F$31:$F$35,0),MATCH($B$7,$G$30:$H$30,0))</f>
        <v>0.14399999999999999</v>
      </c>
      <c r="C20" s="122">
        <f>VLOOKUP($B$6,$F$39:$G$40,2,FALSE())</f>
        <v>0.02</v>
      </c>
      <c r="D20" s="121">
        <f>$B$12*(B20-C20)*$B$8</f>
        <v>35959.999999999993</v>
      </c>
      <c r="E20" s="121">
        <f>SUM(INDEX($G$44:$H$48,1,MATCH($B$7,$G$43:$H$43,0)):INDEX($G$44:$H$48,MATCH($A20,$F$44:$F$48,0),MATCH($B$7,$G$43:$H$43,0)))</f>
        <v>1000</v>
      </c>
      <c r="F20" s="123">
        <f>MAX(D20,E20)</f>
        <v>35959.999999999993</v>
      </c>
      <c r="G20" s="124">
        <f>IFERROR(F20/$B$12,0)</f>
        <v>0.12399999999999997</v>
      </c>
    </row>
    <row r="21" spans="1:9" ht="15" customHeight="1">
      <c r="A21" s="121">
        <v>2000000</v>
      </c>
      <c r="B21" s="122">
        <f>INDEX($G$31:$H$35,MATCH(A21,$F$31:$F$35,0),MATCH($B$7,$G$30:$H$30,0))</f>
        <v>0.218</v>
      </c>
      <c r="C21" s="122">
        <f>VLOOKUP($B$6,$F$39:$G$40,2,FALSE())</f>
        <v>0.02</v>
      </c>
      <c r="D21" s="121">
        <f>$B$12*(B21-C21)*$B$8</f>
        <v>57420</v>
      </c>
      <c r="E21" s="121">
        <f>SUM(INDEX($G$44:$H$48,1,MATCH($B$7,$G$43:$H$43,0)):INDEX($G$44:$H$48,MATCH($A21,$F$44:$F$48,0),MATCH($B$7,$G$43:$H$43,0)))</f>
        <v>1500</v>
      </c>
      <c r="F21" s="123">
        <f>MAX(D21,E21)</f>
        <v>57420</v>
      </c>
      <c r="G21" s="124">
        <f>IFERROR(F21/$B$12,0)</f>
        <v>0.19800000000000001</v>
      </c>
    </row>
    <row r="22" spans="1:9" ht="15" customHeight="1">
      <c r="A22" s="121">
        <v>3000000</v>
      </c>
      <c r="B22" s="122">
        <f>INDEX($G$31:$H$35,MATCH(A22,$F$31:$F$35,0),MATCH($B$7,$G$30:$H$30,0))</f>
        <v>0.27700000000000002</v>
      </c>
      <c r="C22" s="122">
        <f>VLOOKUP($B$6,$F$39:$G$40,2,FALSE())</f>
        <v>0.02</v>
      </c>
      <c r="D22" s="121">
        <f>$B$12*(B22-C22)*$B$8</f>
        <v>74530</v>
      </c>
      <c r="E22" s="121">
        <f>SUM(INDEX($G$44:$H$48,1,MATCH($B$7,$G$43:$H$43,0)):INDEX($G$44:$H$48,MATCH($A22,$F$44:$F$48,0),MATCH($B$7,$G$43:$H$43,0)))</f>
        <v>2000</v>
      </c>
      <c r="F22" s="123">
        <f>MAX(D22,E22)</f>
        <v>74530</v>
      </c>
      <c r="G22" s="124">
        <f>IFERROR(F22/$B$12,0)</f>
        <v>0.25700000000000001</v>
      </c>
    </row>
    <row r="23" spans="1:9" ht="15" customHeight="1">
      <c r="A23" s="121">
        <v>4000000</v>
      </c>
      <c r="B23" s="122">
        <f>INDEX($G$31:$H$35,MATCH(A23,$F$31:$F$35,0),MATCH($B$7,$G$30:$H$30,0))</f>
        <v>0.32200000000000001</v>
      </c>
      <c r="C23" s="122">
        <f>VLOOKUP($B$6,$F$39:$G$40,2,FALSE())</f>
        <v>0.02</v>
      </c>
      <c r="D23" s="121">
        <f>$B$12*(B23-C23)*$B$8</f>
        <v>87580</v>
      </c>
      <c r="E23" s="121">
        <f>SUM(INDEX($G$44:$H$48,1,MATCH($B$7,$G$43:$H$43,0)):INDEX($G$44:$H$48,MATCH($A23,$F$44:$F$48,0),MATCH($B$7,$G$43:$H$43,0)))</f>
        <v>2500</v>
      </c>
      <c r="F23" s="123">
        <f>MAX(D23,E23)</f>
        <v>87580</v>
      </c>
      <c r="G23" s="124">
        <f>IFERROR(F23/$B$12,0)</f>
        <v>0.30199999999999999</v>
      </c>
    </row>
    <row r="24" spans="1:9" ht="15" customHeight="1">
      <c r="A24" s="125">
        <v>5000000</v>
      </c>
      <c r="B24" s="126">
        <f>INDEX($G$31:$H$35,MATCH(A24,$F$31:$F$35,0),MATCH($B$7,$G$30:$H$30,0))</f>
        <v>0.36199999999999999</v>
      </c>
      <c r="C24" s="126">
        <f>VLOOKUP($B$6,$F$39:$G$40,2,FALSE())</f>
        <v>0.02</v>
      </c>
      <c r="D24" s="125">
        <f>$B$12*(B24-C24)*$B$8</f>
        <v>99179.999999999985</v>
      </c>
      <c r="E24" s="125">
        <f>SUM(INDEX($G$44:$H$48,1,MATCH($B$7,$G$43:$H$43,0)):INDEX($G$44:$H$48,MATCH($A24,$F$44:$F$48,0),MATCH($B$7,$G$43:$H$43,0)))</f>
        <v>3000</v>
      </c>
      <c r="F24" s="125">
        <f>MAX(D24,E24)</f>
        <v>99179.999999999985</v>
      </c>
      <c r="G24" s="127">
        <f>IFERROR(F24/$B$12,0)</f>
        <v>0.34199999999999997</v>
      </c>
    </row>
    <row r="25" spans="1:9" ht="15" customHeight="1">
      <c r="A25" s="152" t="s">
        <v>28</v>
      </c>
      <c r="B25" s="147"/>
      <c r="C25" s="147"/>
      <c r="D25" s="147"/>
      <c r="E25" s="147"/>
      <c r="F25" s="147"/>
      <c r="G25" s="147"/>
    </row>
    <row r="27" spans="1:9" ht="19.5" customHeight="1">
      <c r="A27" s="153" t="s">
        <v>29</v>
      </c>
      <c r="B27" s="147"/>
      <c r="C27" s="147"/>
      <c r="D27" s="147"/>
      <c r="E27" s="147"/>
      <c r="F27" s="147"/>
      <c r="G27" s="147"/>
    </row>
    <row r="29" spans="1:9" ht="15" customHeight="1">
      <c r="A29" s="148" t="s">
        <v>30</v>
      </c>
      <c r="B29" s="147"/>
      <c r="C29" s="147"/>
      <c r="D29" s="147"/>
      <c r="E29" s="147"/>
      <c r="F29" s="149" t="s">
        <v>31</v>
      </c>
      <c r="G29" s="147"/>
      <c r="H29" s="147"/>
    </row>
    <row r="30" spans="1:9" ht="15" customHeight="1">
      <c r="A30" s="146" t="s">
        <v>32</v>
      </c>
      <c r="B30" s="147"/>
      <c r="C30" s="147"/>
      <c r="D30" s="147"/>
      <c r="E30" s="147"/>
      <c r="F30" s="128" t="s">
        <v>33</v>
      </c>
      <c r="G30" s="128" t="s">
        <v>7</v>
      </c>
      <c r="H30" s="128" t="s">
        <v>34</v>
      </c>
      <c r="I30" s="129"/>
    </row>
    <row r="31" spans="1:9" ht="15" customHeight="1">
      <c r="A31" s="149" t="s">
        <v>35</v>
      </c>
      <c r="B31" s="147"/>
      <c r="C31" s="147"/>
      <c r="D31" s="147"/>
      <c r="E31" s="147"/>
      <c r="F31" s="130">
        <v>1000000</v>
      </c>
      <c r="G31" s="131">
        <v>0.14399999999999999</v>
      </c>
      <c r="H31" s="131">
        <v>0.22800000000000001</v>
      </c>
      <c r="I31" s="132"/>
    </row>
    <row r="32" spans="1:9" ht="15" customHeight="1">
      <c r="A32" s="149" t="s">
        <v>36</v>
      </c>
      <c r="B32" s="147"/>
      <c r="C32" s="147"/>
      <c r="D32" s="147"/>
      <c r="E32" s="147"/>
      <c r="F32" s="130">
        <v>2000000</v>
      </c>
      <c r="G32" s="131">
        <v>0.218</v>
      </c>
      <c r="H32" s="131">
        <v>0.36199999999999999</v>
      </c>
      <c r="I32" s="132"/>
    </row>
    <row r="33" spans="1:9" ht="15" customHeight="1">
      <c r="A33" s="146" t="s">
        <v>37</v>
      </c>
      <c r="B33" s="147"/>
      <c r="C33" s="147"/>
      <c r="D33" s="147"/>
      <c r="E33" s="147"/>
      <c r="F33" s="130">
        <v>3000000</v>
      </c>
      <c r="G33" s="131">
        <v>0.27700000000000002</v>
      </c>
      <c r="H33" s="131">
        <v>0.47099999999999997</v>
      </c>
      <c r="I33" s="132"/>
    </row>
    <row r="34" spans="1:9" ht="15" customHeight="1">
      <c r="A34" s="146" t="s">
        <v>38</v>
      </c>
      <c r="B34" s="147"/>
      <c r="C34" s="147"/>
      <c r="D34" s="147"/>
      <c r="E34" s="147"/>
      <c r="F34" s="130">
        <v>4000000</v>
      </c>
      <c r="G34" s="131">
        <v>0.32200000000000001</v>
      </c>
      <c r="H34" s="131">
        <v>0.56999999999999995</v>
      </c>
      <c r="I34" s="132"/>
    </row>
    <row r="35" spans="1:9" ht="15" customHeight="1">
      <c r="A35" s="146" t="s">
        <v>39</v>
      </c>
      <c r="B35" s="147"/>
      <c r="C35" s="147"/>
      <c r="D35" s="147"/>
      <c r="E35" s="147"/>
      <c r="F35" s="130">
        <v>5000000</v>
      </c>
      <c r="G35" s="131">
        <v>0.36199999999999999</v>
      </c>
      <c r="H35" s="131">
        <v>0.66400000000000003</v>
      </c>
      <c r="I35" s="132"/>
    </row>
    <row r="36" spans="1:9" ht="15" customHeight="1">
      <c r="A36" s="146" t="s">
        <v>40</v>
      </c>
      <c r="B36" s="147"/>
      <c r="C36" s="147"/>
      <c r="D36" s="147"/>
      <c r="E36" s="147"/>
    </row>
    <row r="37" spans="1:9" ht="15" customHeight="1">
      <c r="A37" s="149" t="s">
        <v>41</v>
      </c>
      <c r="B37" s="147"/>
      <c r="C37" s="147"/>
      <c r="D37" s="147"/>
      <c r="E37" s="147"/>
      <c r="F37" s="149" t="s">
        <v>42</v>
      </c>
      <c r="G37" s="147"/>
    </row>
    <row r="38" spans="1:9" ht="15" customHeight="1">
      <c r="A38" s="146" t="s">
        <v>43</v>
      </c>
      <c r="B38" s="147"/>
      <c r="C38" s="147"/>
      <c r="D38" s="147"/>
      <c r="E38" s="147"/>
      <c r="F38" s="128" t="s">
        <v>44</v>
      </c>
      <c r="G38" s="128" t="s">
        <v>45</v>
      </c>
    </row>
    <row r="39" spans="1:9" ht="15" customHeight="1">
      <c r="A39" s="146" t="s">
        <v>46</v>
      </c>
      <c r="B39" s="147"/>
      <c r="C39" s="147"/>
      <c r="D39" s="147"/>
      <c r="E39" s="147"/>
      <c r="F39" s="133" t="s">
        <v>47</v>
      </c>
      <c r="G39" s="131">
        <v>0.02</v>
      </c>
    </row>
    <row r="40" spans="1:9" ht="15" customHeight="1">
      <c r="A40" s="146" t="s">
        <v>48</v>
      </c>
      <c r="B40" s="147"/>
      <c r="C40" s="147"/>
      <c r="D40" s="147"/>
      <c r="E40" s="147"/>
      <c r="F40" s="133" t="s">
        <v>49</v>
      </c>
      <c r="G40" s="131">
        <v>0.04</v>
      </c>
    </row>
    <row r="41" spans="1:9" ht="15" customHeight="1">
      <c r="A41" s="146" t="s">
        <v>50</v>
      </c>
      <c r="B41" s="147"/>
      <c r="C41" s="147"/>
      <c r="D41" s="147"/>
      <c r="E41" s="147"/>
    </row>
    <row r="42" spans="1:9" ht="15" customHeight="1">
      <c r="A42" s="149" t="s">
        <v>51</v>
      </c>
      <c r="B42" s="147"/>
      <c r="C42" s="147"/>
      <c r="D42" s="147"/>
      <c r="E42" s="147"/>
      <c r="F42" s="149" t="s">
        <v>52</v>
      </c>
      <c r="G42" s="147"/>
      <c r="H42" s="147"/>
    </row>
    <row r="43" spans="1:9" ht="15" customHeight="1">
      <c r="A43" s="146" t="s">
        <v>53</v>
      </c>
      <c r="B43" s="147"/>
      <c r="C43" s="147"/>
      <c r="D43" s="147"/>
      <c r="E43" s="147"/>
      <c r="F43" s="128" t="s">
        <v>33</v>
      </c>
      <c r="G43" s="128" t="s">
        <v>7</v>
      </c>
      <c r="H43" s="128" t="s">
        <v>34</v>
      </c>
      <c r="I43" s="129"/>
    </row>
    <row r="44" spans="1:9" ht="15" customHeight="1">
      <c r="A44" s="146" t="s">
        <v>54</v>
      </c>
      <c r="B44" s="147"/>
      <c r="C44" s="147"/>
      <c r="D44" s="147"/>
      <c r="E44" s="147"/>
      <c r="F44" s="130">
        <v>1000000</v>
      </c>
      <c r="G44" s="130">
        <v>1000</v>
      </c>
      <c r="H44" s="130">
        <v>1500</v>
      </c>
      <c r="I44" s="134"/>
    </row>
    <row r="45" spans="1:9" ht="15" customHeight="1">
      <c r="A45" s="146" t="s">
        <v>55</v>
      </c>
      <c r="B45" s="147"/>
      <c r="C45" s="147"/>
      <c r="D45" s="147"/>
      <c r="E45" s="147"/>
      <c r="F45" s="130">
        <v>2000000</v>
      </c>
      <c r="G45" s="130">
        <v>500</v>
      </c>
      <c r="H45" s="130">
        <v>1000</v>
      </c>
      <c r="I45" s="134"/>
    </row>
    <row r="46" spans="1:9" ht="15" customHeight="1">
      <c r="A46" s="149" t="s">
        <v>56</v>
      </c>
      <c r="B46" s="147"/>
      <c r="C46" s="147"/>
      <c r="D46" s="147"/>
      <c r="E46" s="147"/>
      <c r="F46" s="130">
        <v>3000000</v>
      </c>
      <c r="G46" s="130">
        <v>500</v>
      </c>
      <c r="H46" s="130">
        <v>1000</v>
      </c>
      <c r="I46" s="134"/>
    </row>
    <row r="47" spans="1:9" ht="15" customHeight="1">
      <c r="F47" s="130">
        <v>4000000</v>
      </c>
      <c r="G47" s="130">
        <v>500</v>
      </c>
      <c r="H47" s="130">
        <v>1000</v>
      </c>
      <c r="I47" s="134"/>
    </row>
    <row r="48" spans="1:9" ht="15" customHeight="1">
      <c r="A48" s="148" t="s">
        <v>57</v>
      </c>
      <c r="B48" s="147"/>
      <c r="C48" s="147"/>
      <c r="D48" s="147"/>
      <c r="E48" s="147"/>
      <c r="F48" s="130">
        <v>5000000</v>
      </c>
      <c r="G48" s="130">
        <v>500</v>
      </c>
      <c r="H48" s="130">
        <v>1000</v>
      </c>
      <c r="I48" s="134"/>
    </row>
    <row r="49" spans="1:9" ht="15" customHeight="1">
      <c r="A49" s="146" t="s">
        <v>58</v>
      </c>
      <c r="B49" s="147"/>
      <c r="C49" s="147"/>
      <c r="D49" s="147"/>
      <c r="E49" s="147"/>
      <c r="F49" s="135" t="s">
        <v>59</v>
      </c>
      <c r="G49" s="136">
        <f>SUM(G44:G48)</f>
        <v>3000</v>
      </c>
      <c r="H49" s="136">
        <f>SUM(H44:H48)</f>
        <v>5500</v>
      </c>
      <c r="I49" s="137"/>
    </row>
    <row r="50" spans="1:9" ht="15" customHeight="1">
      <c r="A50" s="146" t="s">
        <v>60</v>
      </c>
      <c r="B50" s="147"/>
      <c r="C50" s="147"/>
      <c r="D50" s="147"/>
      <c r="E50" s="147"/>
    </row>
    <row r="51" spans="1:9" ht="15" customHeight="1">
      <c r="A51" s="146" t="s">
        <v>61</v>
      </c>
      <c r="B51" s="147"/>
      <c r="C51" s="147"/>
      <c r="D51" s="147"/>
      <c r="E51" s="147"/>
      <c r="F51" s="149" t="s">
        <v>62</v>
      </c>
      <c r="G51" s="147"/>
    </row>
    <row r="52" spans="1:9" ht="15" customHeight="1">
      <c r="A52" s="146" t="s">
        <v>63</v>
      </c>
      <c r="B52" s="147"/>
      <c r="C52" s="147"/>
      <c r="D52" s="147"/>
      <c r="E52" s="147"/>
      <c r="F52" s="128" t="s">
        <v>64</v>
      </c>
      <c r="G52" s="128" t="s">
        <v>45</v>
      </c>
    </row>
    <row r="53" spans="1:9" ht="15" customHeight="1">
      <c r="A53" s="146" t="s">
        <v>65</v>
      </c>
      <c r="B53" s="147"/>
      <c r="C53" s="147"/>
      <c r="D53" s="147"/>
      <c r="E53" s="147"/>
      <c r="F53" s="133">
        <v>75</v>
      </c>
      <c r="G53" s="138">
        <v>0.75</v>
      </c>
    </row>
    <row r="54" spans="1:9" ht="15" customHeight="1">
      <c r="A54" s="146" t="s">
        <v>66</v>
      </c>
      <c r="B54" s="147"/>
      <c r="C54" s="147"/>
      <c r="D54" s="147"/>
      <c r="E54" s="147"/>
      <c r="F54" s="133">
        <v>80</v>
      </c>
      <c r="G54" s="138">
        <v>0.8</v>
      </c>
    </row>
    <row r="55" spans="1:9" ht="15" customHeight="1">
      <c r="F55" s="133">
        <v>85</v>
      </c>
      <c r="G55" s="138">
        <v>0.85</v>
      </c>
    </row>
    <row r="56" spans="1:9" ht="15" customHeight="1">
      <c r="F56" s="133">
        <v>90</v>
      </c>
      <c r="G56" s="138">
        <v>0.9</v>
      </c>
    </row>
    <row r="57" spans="1:9" ht="15" customHeight="1">
      <c r="F57" s="133">
        <v>95</v>
      </c>
      <c r="G57" s="138">
        <v>0.95</v>
      </c>
    </row>
    <row r="58" spans="1:9" ht="15" customHeight="1">
      <c r="F58" s="133">
        <v>100</v>
      </c>
      <c r="G58" s="138">
        <v>1</v>
      </c>
    </row>
    <row r="59" spans="1:9" ht="15" customHeight="1">
      <c r="F59" s="133">
        <v>105</v>
      </c>
      <c r="G59" s="138">
        <v>1.05</v>
      </c>
    </row>
    <row r="60" spans="1:9" ht="15" customHeight="1">
      <c r="F60" s="133">
        <v>110</v>
      </c>
      <c r="G60" s="138">
        <v>1.1000000000000001</v>
      </c>
    </row>
    <row r="61" spans="1:9" ht="15" customHeight="1">
      <c r="F61" s="133">
        <v>115</v>
      </c>
      <c r="G61" s="138">
        <v>1.1499999999999999</v>
      </c>
    </row>
    <row r="62" spans="1:9" ht="15" customHeight="1">
      <c r="F62" s="133">
        <v>120</v>
      </c>
      <c r="G62" s="138">
        <v>1.2</v>
      </c>
    </row>
    <row r="63" spans="1:9" ht="15" customHeight="1">
      <c r="F63" s="133">
        <v>125</v>
      </c>
      <c r="G63" s="138">
        <v>1.25</v>
      </c>
    </row>
  </sheetData>
  <mergeCells count="35">
    <mergeCell ref="A1:G1"/>
    <mergeCell ref="A42:E42"/>
    <mergeCell ref="A33:E33"/>
    <mergeCell ref="A32:E32"/>
    <mergeCell ref="A25:G25"/>
    <mergeCell ref="F29:H29"/>
    <mergeCell ref="F37:G37"/>
    <mergeCell ref="A35:E35"/>
    <mergeCell ref="A29:E29"/>
    <mergeCell ref="A38:E38"/>
    <mergeCell ref="A27:G27"/>
    <mergeCell ref="A18:G18"/>
    <mergeCell ref="A3:G3"/>
    <mergeCell ref="A31:E31"/>
    <mergeCell ref="A40:E40"/>
    <mergeCell ref="A54:E54"/>
    <mergeCell ref="F51:G51"/>
    <mergeCell ref="A41:E41"/>
    <mergeCell ref="A46:E46"/>
    <mergeCell ref="A37:E37"/>
    <mergeCell ref="A50:E50"/>
    <mergeCell ref="A53:E53"/>
    <mergeCell ref="A43:E43"/>
    <mergeCell ref="A52:E52"/>
    <mergeCell ref="A44:E44"/>
    <mergeCell ref="A51:E51"/>
    <mergeCell ref="A49:E49"/>
    <mergeCell ref="A45:E45"/>
    <mergeCell ref="A36:E36"/>
    <mergeCell ref="A13:G13"/>
    <mergeCell ref="A30:E30"/>
    <mergeCell ref="A39:E39"/>
    <mergeCell ref="A34:E34"/>
    <mergeCell ref="A48:E48"/>
    <mergeCell ref="F42:H42"/>
  </mergeCells>
  <dataValidations count="2">
    <dataValidation type="list" sqref="B8" xr:uid="{00000000-0002-0000-0300-000000000000}">
      <formula1>"0.75,0.80,0.85,0.90,0.95,1.00,1.05,1.10,1.15,1.20,1.25"</formula1>
      <formula2>0</formula2>
    </dataValidation>
    <dataValidation type="list" sqref="B7" xr:uid="{00000000-0002-0000-0300-000001000000}">
      <formula1>"Medium,High"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showGridLines="0" zoomScale="73" zoomScaleNormal="73" workbookViewId="0">
      <selection activeCell="B43" sqref="B43"/>
    </sheetView>
  </sheetViews>
  <sheetFormatPr defaultColWidth="8.7265625" defaultRowHeight="15" customHeight="1"/>
  <cols>
    <col min="1" max="1" width="58" customWidth="1"/>
    <col min="2" max="4" width="18" customWidth="1"/>
    <col min="5" max="5" width="14" customWidth="1"/>
  </cols>
  <sheetData>
    <row r="1" spans="1:10" ht="24" customHeight="1">
      <c r="A1" s="157" t="s">
        <v>188</v>
      </c>
      <c r="B1" s="147"/>
      <c r="C1" s="147"/>
      <c r="D1" s="147"/>
      <c r="E1" s="147"/>
    </row>
    <row r="2" spans="1:10" ht="15" customHeight="1">
      <c r="J2" s="139"/>
    </row>
    <row r="3" spans="1:10" ht="15" customHeight="1">
      <c r="A3" s="155" t="s">
        <v>189</v>
      </c>
      <c r="B3" s="147"/>
      <c r="C3" s="147"/>
      <c r="D3" s="147"/>
      <c r="E3" s="147"/>
      <c r="J3" s="139"/>
    </row>
    <row r="4" spans="1:10" ht="15" customHeight="1">
      <c r="A4" s="33" t="s">
        <v>190</v>
      </c>
      <c r="B4" s="33" t="s">
        <v>191</v>
      </c>
      <c r="C4" s="33" t="s">
        <v>192</v>
      </c>
      <c r="D4" s="33" t="s">
        <v>193</v>
      </c>
    </row>
    <row r="5" spans="1:10" ht="15" customHeight="1">
      <c r="A5" s="140">
        <v>60</v>
      </c>
      <c r="B5" s="57">
        <v>-2.6173000000000002</v>
      </c>
      <c r="C5" s="57">
        <v>1.073</v>
      </c>
      <c r="D5" s="57">
        <v>1.0699000000000001</v>
      </c>
    </row>
    <row r="6" spans="1:10" ht="15" customHeight="1">
      <c r="A6" s="141">
        <v>48</v>
      </c>
      <c r="B6" s="63">
        <v>-1.8773</v>
      </c>
      <c r="C6" s="63">
        <v>1.153</v>
      </c>
      <c r="D6" s="63">
        <v>1.1521999999999999</v>
      </c>
    </row>
    <row r="7" spans="1:10" ht="15" customHeight="1">
      <c r="A7" s="140">
        <v>36</v>
      </c>
      <c r="B7" s="57">
        <v>-1.1777</v>
      </c>
      <c r="C7" s="57">
        <v>1.3080000000000001</v>
      </c>
      <c r="D7" s="57">
        <v>1.3311999999999999</v>
      </c>
    </row>
    <row r="8" spans="1:10" ht="15" customHeight="1">
      <c r="A8" s="141">
        <v>24</v>
      </c>
      <c r="B8" s="63">
        <v>-0.36959999999999998</v>
      </c>
      <c r="C8" s="63">
        <v>1.6910000000000001</v>
      </c>
      <c r="D8" s="63">
        <v>1.7206999999999999</v>
      </c>
    </row>
    <row r="9" spans="1:10" ht="15" customHeight="1">
      <c r="A9" s="140">
        <v>12</v>
      </c>
      <c r="B9" s="57">
        <v>0.51639999999999997</v>
      </c>
      <c r="C9" s="57">
        <v>2.6760000000000002</v>
      </c>
      <c r="D9" s="57">
        <v>2.5682</v>
      </c>
    </row>
    <row r="11" spans="1:10" ht="15" customHeight="1">
      <c r="A11" s="155" t="s">
        <v>194</v>
      </c>
      <c r="B11" s="147"/>
      <c r="C11" s="147"/>
      <c r="D11" s="147"/>
      <c r="E11" s="147"/>
    </row>
    <row r="12" spans="1:10" ht="15" customHeight="1">
      <c r="A12" s="3" t="s">
        <v>195</v>
      </c>
      <c r="B12" s="57">
        <v>-6.4792613184687597E-2</v>
      </c>
    </row>
    <row r="13" spans="1:10" ht="15" customHeight="1">
      <c r="A13" s="3" t="s">
        <v>196</v>
      </c>
      <c r="B13" s="57">
        <v>1.22743924573144</v>
      </c>
    </row>
    <row r="15" spans="1:10" ht="15" customHeight="1">
      <c r="A15" s="155" t="s">
        <v>197</v>
      </c>
      <c r="B15" s="147"/>
      <c r="C15" s="147"/>
      <c r="D15" s="147"/>
      <c r="E15" s="147"/>
    </row>
    <row r="16" spans="1:10" ht="15" customHeight="1">
      <c r="A16" s="33" t="s">
        <v>190</v>
      </c>
      <c r="B16" s="33" t="s">
        <v>191</v>
      </c>
      <c r="C16" s="33" t="s">
        <v>192</v>
      </c>
      <c r="D16" s="33" t="s">
        <v>193</v>
      </c>
    </row>
    <row r="17" spans="1:5" ht="15" customHeight="1">
      <c r="A17" s="140">
        <v>3</v>
      </c>
      <c r="B17" s="57">
        <v>1.6599408950000001</v>
      </c>
      <c r="C17" s="57">
        <v>6.2590000000000003</v>
      </c>
      <c r="D17" s="57">
        <v>4.819</v>
      </c>
    </row>
    <row r="18" spans="1:5" ht="15" customHeight="1">
      <c r="A18" s="141">
        <v>6</v>
      </c>
      <c r="B18" s="63">
        <v>0.95242977799999995</v>
      </c>
      <c r="C18" s="63">
        <v>3.5920000000000001</v>
      </c>
      <c r="D18" s="63">
        <v>3.847</v>
      </c>
    </row>
    <row r="19" spans="1:5" ht="15" customHeight="1">
      <c r="A19" s="140">
        <v>9</v>
      </c>
      <c r="B19" s="57">
        <v>0.63073972</v>
      </c>
      <c r="C19" s="57">
        <v>2.879</v>
      </c>
      <c r="D19" s="57">
        <v>3.1230000000000002</v>
      </c>
    </row>
    <row r="20" spans="1:5" ht="15" customHeight="1">
      <c r="A20" s="141">
        <v>12</v>
      </c>
      <c r="B20" s="63">
        <v>0.34074879299999999</v>
      </c>
      <c r="C20" s="63">
        <v>2.4060000000000001</v>
      </c>
      <c r="D20" s="63">
        <v>2.5819999999999999</v>
      </c>
    </row>
    <row r="21" spans="1:5" ht="15" customHeight="1">
      <c r="A21" s="140">
        <v>15</v>
      </c>
      <c r="B21" s="57">
        <v>7.5107471999999995E-2</v>
      </c>
      <c r="C21" s="57">
        <v>2.0779999999999998</v>
      </c>
      <c r="D21" s="57">
        <v>2.1800000000000002</v>
      </c>
    </row>
    <row r="22" spans="1:5" ht="15" customHeight="1">
      <c r="A22" s="141">
        <v>18</v>
      </c>
      <c r="B22" s="63">
        <v>-0.174353387</v>
      </c>
      <c r="C22" s="63">
        <v>1.84</v>
      </c>
      <c r="D22" s="63">
        <v>1.879</v>
      </c>
    </row>
    <row r="23" spans="1:5" ht="15" customHeight="1">
      <c r="A23" s="140">
        <v>21</v>
      </c>
      <c r="B23" s="57">
        <v>-0.42617814999999998</v>
      </c>
      <c r="C23" s="57">
        <v>1.653</v>
      </c>
      <c r="D23" s="57">
        <v>1.6559999999999999</v>
      </c>
    </row>
    <row r="24" spans="1:5" ht="15" customHeight="1">
      <c r="A24" s="141">
        <v>24</v>
      </c>
      <c r="B24" s="63">
        <v>-0.68915515900000002</v>
      </c>
      <c r="C24" s="63">
        <v>1.502</v>
      </c>
      <c r="D24" s="63">
        <v>1.4890000000000001</v>
      </c>
    </row>
    <row r="25" spans="1:5" ht="15" customHeight="1">
      <c r="A25" s="140">
        <v>27</v>
      </c>
      <c r="B25" s="57">
        <v>-0.96758402600000004</v>
      </c>
      <c r="C25" s="57">
        <v>1.38</v>
      </c>
      <c r="D25" s="57">
        <v>1.3640000000000001</v>
      </c>
    </row>
    <row r="26" spans="1:5" ht="15" customHeight="1">
      <c r="A26" s="141">
        <v>30</v>
      </c>
      <c r="B26" s="63">
        <v>-1.2447947989999999</v>
      </c>
      <c r="C26" s="63">
        <v>1.288</v>
      </c>
      <c r="D26" s="63">
        <v>1.272</v>
      </c>
    </row>
    <row r="27" spans="1:5" ht="15" customHeight="1">
      <c r="A27" s="140">
        <v>33</v>
      </c>
      <c r="B27" s="57">
        <v>-1.565421027</v>
      </c>
      <c r="C27" s="57">
        <v>1.2090000000000001</v>
      </c>
      <c r="D27" s="57">
        <v>1.2030000000000001</v>
      </c>
    </row>
    <row r="28" spans="1:5" ht="15" customHeight="1">
      <c r="A28" s="141">
        <v>36</v>
      </c>
      <c r="B28" s="63">
        <v>-1.897119985</v>
      </c>
      <c r="C28" s="63">
        <v>1.1499999999999999</v>
      </c>
      <c r="D28" s="63">
        <v>1.151</v>
      </c>
    </row>
    <row r="30" spans="1:5" ht="15" customHeight="1">
      <c r="A30" s="155" t="s">
        <v>198</v>
      </c>
      <c r="B30" s="147"/>
      <c r="C30" s="147"/>
      <c r="D30" s="147"/>
      <c r="E30" s="147"/>
    </row>
    <row r="31" spans="1:5" ht="15" customHeight="1">
      <c r="A31" s="3" t="s">
        <v>195</v>
      </c>
      <c r="B31" s="57">
        <v>-9.7905996863636394E-2</v>
      </c>
    </row>
    <row r="32" spans="1:5" ht="15" customHeight="1">
      <c r="A32" s="1" t="s">
        <v>199</v>
      </c>
      <c r="B32" s="57">
        <v>-9.7905996863636394E-2</v>
      </c>
    </row>
    <row r="33" spans="1:5" ht="15" customHeight="1">
      <c r="A33" s="1" t="s">
        <v>200</v>
      </c>
      <c r="B33" s="57">
        <v>1.6336969492575799</v>
      </c>
    </row>
    <row r="35" spans="1:5" ht="15" customHeight="1">
      <c r="A35" s="155" t="s">
        <v>201</v>
      </c>
      <c r="B35" s="147"/>
      <c r="C35" s="147"/>
      <c r="D35" s="147"/>
      <c r="E35" s="147"/>
    </row>
    <row r="37" spans="1:5" ht="15" customHeight="1">
      <c r="A37" s="155" t="s">
        <v>202</v>
      </c>
      <c r="B37" s="147"/>
      <c r="C37" s="147"/>
      <c r="D37" s="147"/>
      <c r="E37" s="147"/>
    </row>
    <row r="38" spans="1:5" ht="15" customHeight="1">
      <c r="A38" s="3" t="s">
        <v>102</v>
      </c>
      <c r="B38" s="142">
        <f>Setup!$B$31</f>
        <v>2.5332310092673813</v>
      </c>
    </row>
    <row r="39" spans="1:5" ht="15" customHeight="1">
      <c r="A39" s="3" t="s">
        <v>203</v>
      </c>
      <c r="B39" s="57">
        <f>IFERROR(B38/Setup!$B$30,0)</f>
        <v>4.2220516821123022</v>
      </c>
    </row>
    <row r="41" spans="1:5" ht="15" customHeight="1">
      <c r="A41" s="155" t="s">
        <v>204</v>
      </c>
      <c r="B41" s="147"/>
      <c r="C41" s="147"/>
      <c r="D41" s="147"/>
      <c r="E41" s="147"/>
    </row>
    <row r="42" spans="1:5" ht="15" customHeight="1">
      <c r="A42" s="3" t="s">
        <v>205</v>
      </c>
      <c r="B42" s="143">
        <v>1.5</v>
      </c>
    </row>
    <row r="43" spans="1:5" ht="15" customHeight="1">
      <c r="A43" s="3" t="s">
        <v>206</v>
      </c>
      <c r="B43" s="78">
        <f>Setup!$B$21</f>
        <v>1.4950000000000001</v>
      </c>
    </row>
    <row r="44" spans="1:5" ht="15" customHeight="1">
      <c r="A44" s="3" t="s">
        <v>207</v>
      </c>
      <c r="B44" s="57">
        <f>IFERROR(B42*B43/Setup!$B$30,0)</f>
        <v>3.7375000000000003</v>
      </c>
    </row>
    <row r="46" spans="1:5" ht="15" customHeight="1">
      <c r="A46" s="155" t="s">
        <v>208</v>
      </c>
      <c r="B46" s="147"/>
      <c r="C46" s="147"/>
      <c r="D46" s="147"/>
      <c r="E46" s="147"/>
    </row>
    <row r="47" spans="1:5" ht="15" customHeight="1">
      <c r="A47" s="3" t="s">
        <v>209</v>
      </c>
      <c r="B47" s="143">
        <v>1.9</v>
      </c>
    </row>
    <row r="48" spans="1:5" ht="15" customHeight="1">
      <c r="A48" s="3" t="s">
        <v>210</v>
      </c>
      <c r="B48" s="57">
        <f>IFERROR(B47/Setup!$B$30,0)</f>
        <v>3.1666666666666665</v>
      </c>
    </row>
    <row r="50" spans="1:5" ht="15" customHeight="1">
      <c r="A50" s="92" t="s">
        <v>211</v>
      </c>
      <c r="B50" s="144">
        <f>IFERROR(AVERAGE(B39,B44,B48),0)</f>
        <v>3.7087394495929895</v>
      </c>
    </row>
    <row r="52" spans="1:5" ht="15" customHeight="1">
      <c r="A52" s="155" t="s">
        <v>212</v>
      </c>
      <c r="B52" s="147"/>
      <c r="C52" s="147"/>
      <c r="D52" s="147"/>
      <c r="E52" s="147"/>
    </row>
    <row r="53" spans="1:5" ht="15" customHeight="1">
      <c r="A53" s="145" t="s">
        <v>213</v>
      </c>
    </row>
    <row r="54" spans="1:5" ht="15" customHeight="1">
      <c r="A54" s="85" t="s">
        <v>214</v>
      </c>
    </row>
    <row r="55" spans="1:5" ht="15" customHeight="1">
      <c r="A55" s="2" t="s">
        <v>215</v>
      </c>
    </row>
  </sheetData>
  <mergeCells count="10">
    <mergeCell ref="A11:E11"/>
    <mergeCell ref="A1:E1"/>
    <mergeCell ref="A46:E46"/>
    <mergeCell ref="A37:E37"/>
    <mergeCell ref="A3:E3"/>
    <mergeCell ref="A30:E30"/>
    <mergeCell ref="A35:E35"/>
    <mergeCell ref="A52:E52"/>
    <mergeCell ref="A15:E15"/>
    <mergeCell ref="A41:E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SOV</vt:lpstr>
      <vt:lpstr>Setup</vt:lpstr>
      <vt:lpstr>LossRun</vt:lpstr>
      <vt:lpstr>Indication</vt:lpstr>
      <vt:lpstr>EXPORT</vt:lpstr>
      <vt:lpstr>Umbrella</vt:lpstr>
      <vt:lpstr>Ref</vt:lpstr>
      <vt:lpstr>SOV!Print_Area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Hunt Harvey</cp:lastModifiedBy>
  <cp:revision>0</cp:revision>
  <dcterms:created xsi:type="dcterms:W3CDTF">2026-03-10T03:57:27Z</dcterms:created>
  <dcterms:modified xsi:type="dcterms:W3CDTF">2026-05-21T20:34:33Z</dcterms:modified>
  <dc:language>en-US</dc:language>
</cp:coreProperties>
</file>